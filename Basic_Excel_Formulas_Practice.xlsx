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I\Downloads\"/>
    </mc:Choice>
  </mc:AlternateContent>
  <xr:revisionPtr revIDLastSave="0" documentId="13_ncr:1_{83745EA6-B155-45D6-9A50-92D1F67446BC}" xr6:coauthVersionLast="47" xr6:coauthVersionMax="47" xr10:uidLastSave="{00000000-0000-0000-0000-000000000000}"/>
  <bookViews>
    <workbookView xWindow="-108" yWindow="-108" windowWidth="23256" windowHeight="12456" xr2:uid="{A67E1F1B-B8F2-4C97-B009-5F130C763287}"/>
  </bookViews>
  <sheets>
    <sheet name="Sheet1" sheetId="1" r:id="rId1"/>
  </sheets>
  <definedNames>
    <definedName name="_xlnm._FilterDatabase" localSheetId="0" hidden="1">Sheet1!$A$1:$H$9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H7" i="1"/>
  <c r="H9" i="1"/>
  <c r="H6" i="1"/>
  <c r="H8" i="1"/>
  <c r="H3" i="1"/>
  <c r="H4" i="1"/>
  <c r="H5" i="1"/>
  <c r="H2" i="1"/>
  <c r="G8" i="1"/>
  <c r="E20" i="1"/>
  <c r="G6" i="1"/>
  <c r="E22" i="1" s="1"/>
  <c r="G3" i="1"/>
  <c r="G4" i="1"/>
  <c r="G7" i="1"/>
  <c r="G5" i="1"/>
  <c r="G2" i="1"/>
  <c r="G9" i="1"/>
  <c r="E19" i="1"/>
  <c r="E18" i="1"/>
</calcChain>
</file>

<file path=xl/sharedStrings.xml><?xml version="1.0" encoding="utf-8"?>
<sst xmlns="http://schemas.openxmlformats.org/spreadsheetml/2006/main" count="29" uniqueCount="24">
  <si>
    <t>EmpID</t>
  </si>
  <si>
    <t>Name</t>
  </si>
  <si>
    <t>Department</t>
  </si>
  <si>
    <t>Age</t>
  </si>
  <si>
    <t>Salary</t>
  </si>
  <si>
    <t>Experience</t>
  </si>
  <si>
    <t>Rahul</t>
  </si>
  <si>
    <t>IT</t>
  </si>
  <si>
    <t>Anita</t>
  </si>
  <si>
    <t>HR</t>
  </si>
  <si>
    <t>John</t>
  </si>
  <si>
    <t>Meena</t>
  </si>
  <si>
    <t>Finance</t>
  </si>
  <si>
    <t>Ravi</t>
  </si>
  <si>
    <t>Neha</t>
  </si>
  <si>
    <t>Kiran</t>
  </si>
  <si>
    <t>Pooja</t>
  </si>
  <si>
    <t>Highest_Salary</t>
  </si>
  <si>
    <t>CountOfSenios</t>
  </si>
  <si>
    <t>Average_age</t>
  </si>
  <si>
    <t>Total_salary</t>
  </si>
  <si>
    <t>countOfJuniors</t>
  </si>
  <si>
    <t>Level_by_salary</t>
  </si>
  <si>
    <t>Level_by_Experiance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</si>
</sst>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BBF1-6CFC-4EED-A363-E5D62D5038E8}">
  <dimension ref="A1:H22"/>
  <sheetViews>
    <sheetView tabSelected="1" workbookViewId="0">
      <selection activeCell="E2" sqref="E2"/>
    </sheetView>
  </sheetViews>
  <sheetFormatPr defaultRowHeight="14.4" x14ac:dyDescent="0.3"/>
  <cols>
    <col min="2" max="2" width="12.6640625" customWidth="1"/>
    <col min="3" max="3" width="17.33203125" customWidth="1"/>
    <col min="4" max="4" width="15" customWidth="1"/>
    <col min="5" max="5" width="16.33203125" customWidth="1"/>
    <col min="6" max="6" width="13.109375" customWidth="1"/>
    <col min="7" max="7" width="22" customWidth="1"/>
    <col min="8" max="8" width="21.441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22</v>
      </c>
      <c r="H1" s="4" t="s">
        <v>23</v>
      </c>
    </row>
    <row r="2" spans="1:8" x14ac:dyDescent="0.3">
      <c r="A2" s="1">
        <v>107</v>
      </c>
      <c r="B2" s="1" t="s">
        <v>15</v>
      </c>
      <c r="C2" s="1" t="s">
        <v>12</v>
      </c>
      <c r="D2" s="1">
        <v>35</v>
      </c>
      <c r="E2" s="1">
        <v>70000</v>
      </c>
      <c r="F2" s="1">
        <v>10</v>
      </c>
      <c r="G2" s="2" t="str">
        <f>IF(E2&gt;=50000,"Senior","Junior")</f>
        <v>Senior</v>
      </c>
      <c r="H2" t="str">
        <f>IF(F2&gt;5,"Senior","Junior")</f>
        <v>Senior</v>
      </c>
    </row>
    <row r="3" spans="1:8" x14ac:dyDescent="0.3">
      <c r="A3" s="1">
        <v>103</v>
      </c>
      <c r="B3" s="1" t="s">
        <v>10</v>
      </c>
      <c r="C3" s="1" t="s">
        <v>7</v>
      </c>
      <c r="D3" s="1">
        <v>32</v>
      </c>
      <c r="E3" s="1">
        <v>60000</v>
      </c>
      <c r="F3" s="1">
        <v>7</v>
      </c>
      <c r="G3" s="2" t="str">
        <f>IF(E3&gt;=50000,"Senior","Junior")</f>
        <v>Senior</v>
      </c>
      <c r="H3" t="str">
        <f>IF(F3&gt;5,"Senior","Junior")</f>
        <v>Senior</v>
      </c>
    </row>
    <row r="4" spans="1:8" x14ac:dyDescent="0.3">
      <c r="A4" s="1">
        <v>104</v>
      </c>
      <c r="B4" s="1" t="s">
        <v>11</v>
      </c>
      <c r="C4" s="1" t="s">
        <v>12</v>
      </c>
      <c r="D4" s="1">
        <v>30</v>
      </c>
      <c r="E4" s="1">
        <v>55000</v>
      </c>
      <c r="F4" s="1">
        <v>6</v>
      </c>
      <c r="G4" s="2" t="str">
        <f>IF(E4&gt;=50000,"Senior","Junior")</f>
        <v>Senior</v>
      </c>
      <c r="H4" t="str">
        <f>IF(F4&gt;5,"Senior","Junior")</f>
        <v>Senior</v>
      </c>
    </row>
    <row r="5" spans="1:8" x14ac:dyDescent="0.3">
      <c r="A5" s="1">
        <v>106</v>
      </c>
      <c r="B5" s="1" t="s">
        <v>14</v>
      </c>
      <c r="C5" s="1" t="s">
        <v>7</v>
      </c>
      <c r="D5" s="1">
        <v>29</v>
      </c>
      <c r="E5" s="1">
        <v>48000</v>
      </c>
      <c r="F5" s="1">
        <v>4</v>
      </c>
      <c r="G5" s="2" t="str">
        <f>IF(E5&gt;=50000,"Senior","Junior")</f>
        <v>Junior</v>
      </c>
      <c r="H5" t="str">
        <f>IF(F5&gt;5,"Senior","Junior")</f>
        <v>Junior</v>
      </c>
    </row>
    <row r="6" spans="1:8" x14ac:dyDescent="0.3">
      <c r="A6" s="1">
        <v>102</v>
      </c>
      <c r="B6" s="1" t="s">
        <v>8</v>
      </c>
      <c r="C6" s="1" t="s">
        <v>9</v>
      </c>
      <c r="D6" s="1">
        <v>28</v>
      </c>
      <c r="E6" s="1">
        <v>42000</v>
      </c>
      <c r="F6" s="1">
        <v>3</v>
      </c>
      <c r="G6" s="2" t="str">
        <f>IF(E6&gt;=50000,"Senior","Junior")</f>
        <v>Junior</v>
      </c>
      <c r="H6" t="str">
        <f>IF(F6&gt;5,"Senior","Junior")</f>
        <v>Junior</v>
      </c>
    </row>
    <row r="7" spans="1:8" x14ac:dyDescent="0.3">
      <c r="A7" s="1">
        <v>105</v>
      </c>
      <c r="B7" s="1" t="s">
        <v>13</v>
      </c>
      <c r="C7" s="1" t="s">
        <v>9</v>
      </c>
      <c r="D7" s="1">
        <v>26</v>
      </c>
      <c r="E7" s="1">
        <v>38000</v>
      </c>
      <c r="F7" s="1">
        <v>2</v>
      </c>
      <c r="G7" s="2" t="str">
        <f>IF(E7&gt;=50000,"Senior","Junior")</f>
        <v>Junior</v>
      </c>
      <c r="H7" t="str">
        <f>IF(F7&gt;5,"Senior","Junior")</f>
        <v>Junior</v>
      </c>
    </row>
    <row r="8" spans="1:8" x14ac:dyDescent="0.3">
      <c r="A8" s="1">
        <v>101</v>
      </c>
      <c r="B8" s="1" t="s">
        <v>6</v>
      </c>
      <c r="C8" s="1" t="s">
        <v>7</v>
      </c>
      <c r="D8" s="1">
        <v>25</v>
      </c>
      <c r="E8" s="1">
        <v>35000</v>
      </c>
      <c r="F8" s="1">
        <v>1</v>
      </c>
      <c r="G8" s="2" t="str">
        <f>IF(E8&gt;=50000,"Senior","Junior")</f>
        <v>Junior</v>
      </c>
      <c r="H8" t="str">
        <f>IF(F8&gt;5,"Senior","Junior")</f>
        <v>Junior</v>
      </c>
    </row>
    <row r="9" spans="1:8" x14ac:dyDescent="0.3">
      <c r="A9" s="1">
        <v>108</v>
      </c>
      <c r="B9" s="1" t="s">
        <v>16</v>
      </c>
      <c r="C9" s="1" t="s">
        <v>9</v>
      </c>
      <c r="D9" s="1">
        <v>24</v>
      </c>
      <c r="E9" s="1">
        <v>32000</v>
      </c>
      <c r="F9" s="1">
        <v>1</v>
      </c>
      <c r="G9" s="2" t="str">
        <f>IF(E9&gt;=50000,"Senior","Junior")</f>
        <v>Junior</v>
      </c>
      <c r="H9" t="str">
        <f>IF(F9&gt;5,"Senior","Junior")</f>
        <v>Junior</v>
      </c>
    </row>
    <row r="10" spans="1:8" x14ac:dyDescent="0.3">
      <c r="A10" s="2"/>
      <c r="B10" s="2"/>
      <c r="G10" s="2"/>
    </row>
    <row r="11" spans="1:8" x14ac:dyDescent="0.3">
      <c r="A11" s="2"/>
      <c r="B11" s="2"/>
      <c r="G11" s="2"/>
    </row>
    <row r="18" spans="4:7" x14ac:dyDescent="0.3">
      <c r="D18" s="2" t="s">
        <v>19</v>
      </c>
      <c r="E18" s="2">
        <f>AVERAGE(D2:D9)</f>
        <v>28.625</v>
      </c>
    </row>
    <row r="19" spans="4:7" x14ac:dyDescent="0.3">
      <c r="D19" s="2" t="s">
        <v>17</v>
      </c>
      <c r="E19" s="2">
        <f>MAX(E2:E9)</f>
        <v>70000</v>
      </c>
      <c r="G19" s="2"/>
    </row>
    <row r="20" spans="4:7" x14ac:dyDescent="0.3">
      <c r="D20" t="s">
        <v>18</v>
      </c>
      <c r="E20">
        <f>COUNTIF(G2:G9,"Senior")</f>
        <v>3</v>
      </c>
    </row>
    <row r="21" spans="4:7" x14ac:dyDescent="0.3">
      <c r="D21" t="s">
        <v>20</v>
      </c>
      <c r="E21" s="2">
        <f>SUM(E2:E9)</f>
        <v>380000</v>
      </c>
    </row>
    <row r="22" spans="4:7" x14ac:dyDescent="0.3">
      <c r="D22" t="s">
        <v>21</v>
      </c>
      <c r="E22">
        <f>COUNTIF(G2:G9,"Junior")</f>
        <v>5</v>
      </c>
    </row>
  </sheetData>
  <autoFilter ref="A1:H9" xr:uid="{15D0BBF1-6CFC-4EED-A363-E5D62D5038E8}">
    <sortState xmlns:xlrd2="http://schemas.microsoft.com/office/spreadsheetml/2017/richdata2" ref="A2:H9">
      <sortCondition descending="1" ref="E1:E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NELLORI PHANIRAJ</dc:creator>
  <cp:lastModifiedBy>NELLORI PHANIRAJ</cp:lastModifiedBy>
  <dcterms:created xsi:type="dcterms:W3CDTF">2026-01-10T08:51:55Z</dcterms:created>
  <dcterms:modified xsi:type="dcterms:W3CDTF">2026-01-10T10:09:33Z</dcterms:modified>
</cp:coreProperties>
</file>