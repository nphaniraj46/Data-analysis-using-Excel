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NI\Downloads\"/>
    </mc:Choice>
  </mc:AlternateContent>
  <xr:revisionPtr revIDLastSave="0" documentId="13_ncr:1_{5DBAC256-A0F7-4F66-8E6F-ABB38CB31810}" xr6:coauthVersionLast="47" xr6:coauthVersionMax="47" xr10:uidLastSave="{00000000-0000-0000-0000-000000000000}"/>
  <bookViews>
    <workbookView xWindow="-108" yWindow="-108" windowWidth="23256" windowHeight="12456" xr2:uid="{32BC2B09-2A31-4FE6-9369-467A9C283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2" i="1" s="1"/>
  <c r="K2" i="1" a="1"/>
  <c r="K2" i="1" s="1"/>
  <c r="L2" i="1" a="1"/>
  <c r="L2" i="1" s="1"/>
  <c r="M10" i="1" a="1"/>
  <c r="M10" i="1" s="1"/>
  <c r="J10" i="1" a="1"/>
  <c r="J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<sst xmlns="http://schemas.openxmlformats.org/spreadsheetml/2006/main" count="44" uniqueCount="29">
  <si>
    <t>EmpID</t>
  </si>
  <si>
    <t>Name</t>
  </si>
  <si>
    <t>Department</t>
  </si>
  <si>
    <t>City</t>
  </si>
  <si>
    <t>Salary</t>
  </si>
  <si>
    <t>Experience</t>
  </si>
  <si>
    <t>Rating</t>
  </si>
  <si>
    <t>Arjun</t>
  </si>
  <si>
    <t>IT</t>
  </si>
  <si>
    <t>Hyderabad</t>
  </si>
  <si>
    <t>Sita</t>
  </si>
  <si>
    <t>HR</t>
  </si>
  <si>
    <t>Chennai</t>
  </si>
  <si>
    <t>Ramesh</t>
  </si>
  <si>
    <t>Bangalore</t>
  </si>
  <si>
    <t>Kavya</t>
  </si>
  <si>
    <t>Finance</t>
  </si>
  <si>
    <t>Mumbai</t>
  </si>
  <si>
    <t>Mohan</t>
  </si>
  <si>
    <t>Pune</t>
  </si>
  <si>
    <t>Neha</t>
  </si>
  <si>
    <t>Delhi</t>
  </si>
  <si>
    <t>Kiran</t>
  </si>
  <si>
    <t>Pooja</t>
  </si>
  <si>
    <t>Deepak</t>
  </si>
  <si>
    <t>Nikhil</t>
  </si>
  <si>
    <t>count of emp</t>
  </si>
  <si>
    <t>Total_salary_per department</t>
  </si>
  <si>
    <t>count of employees experience grater than 3 in each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</si>
</sst>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164B-701A-4DC1-9877-82BACFA193EA}">
  <dimension ref="A1:M12"/>
  <sheetViews>
    <sheetView tabSelected="1" workbookViewId="0">
      <selection activeCell="M10" sqref="M10"/>
    </sheetView>
  </sheetViews>
  <sheetFormatPr defaultRowHeight="14.4" x14ac:dyDescent="0.3"/>
  <cols>
    <col min="3" max="3" width="14.5546875" customWidth="1"/>
    <col min="10" max="10" width="14.5546875" customWidth="1"/>
    <col min="11" max="11" width="10.44140625" customWidth="1"/>
    <col min="12" max="12" width="18.5546875" customWidth="1"/>
    <col min="13" max="13" width="22.109375" customWidth="1"/>
  </cols>
  <sheetData>
    <row r="1" spans="1:13" ht="43.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3" t="s">
        <v>2</v>
      </c>
      <c r="K1" s="3" t="s">
        <v>26</v>
      </c>
      <c r="L1" s="3" t="s">
        <v>27</v>
      </c>
      <c r="M1" s="3" t="s">
        <v>28</v>
      </c>
    </row>
    <row r="2" spans="1:13" ht="28.8" x14ac:dyDescent="0.3">
      <c r="A2" s="1">
        <v>101</v>
      </c>
      <c r="B2" s="4" t="s">
        <v>7</v>
      </c>
      <c r="C2" s="4" t="s">
        <v>8</v>
      </c>
      <c r="D2" s="4" t="s">
        <v>9</v>
      </c>
      <c r="E2" s="4">
        <v>35000</v>
      </c>
      <c r="F2" s="4">
        <v>2</v>
      </c>
      <c r="G2" s="4">
        <v>3</v>
      </c>
      <c r="J2" s="4" t="s">
        <v>8</v>
      </c>
      <c r="K2" cm="1">
        <f t="array" ref="K2:K4">COUNTIF(C2:C11,J2:J4)</f>
        <v>4</v>
      </c>
      <c r="L2" cm="1">
        <f t="array" ref="L2:L4">SUMIFS(E2:E11,C2:C11,J2:J4)</f>
        <v>170000</v>
      </c>
      <c r="M2" cm="1">
        <f t="array" ref="M2:M4">COUNTIFS(C2:C11,J2:J4,F2:F11,"&gt;=3")</f>
        <v>2</v>
      </c>
    </row>
    <row r="3" spans="1:13" x14ac:dyDescent="0.3">
      <c r="A3" s="1">
        <v>102</v>
      </c>
      <c r="B3" s="4" t="s">
        <v>10</v>
      </c>
      <c r="C3" s="4" t="s">
        <v>11</v>
      </c>
      <c r="D3" s="4" t="s">
        <v>12</v>
      </c>
      <c r="E3" s="4">
        <v>42000</v>
      </c>
      <c r="F3" s="4">
        <v>4</v>
      </c>
      <c r="G3" s="4">
        <v>4</v>
      </c>
      <c r="J3" s="4" t="s">
        <v>11</v>
      </c>
      <c r="K3">
        <v>3</v>
      </c>
      <c r="L3">
        <v>142000</v>
      </c>
      <c r="M3">
        <v>3</v>
      </c>
    </row>
    <row r="4" spans="1:13" ht="28.8" x14ac:dyDescent="0.3">
      <c r="A4" s="1">
        <v>103</v>
      </c>
      <c r="B4" s="4" t="s">
        <v>13</v>
      </c>
      <c r="C4" s="4" t="s">
        <v>8</v>
      </c>
      <c r="D4" s="4" t="s">
        <v>14</v>
      </c>
      <c r="E4" s="4">
        <v>60000</v>
      </c>
      <c r="F4" s="4">
        <v>8</v>
      </c>
      <c r="G4" s="4">
        <v>5</v>
      </c>
      <c r="J4" s="4" t="s">
        <v>16</v>
      </c>
      <c r="K4">
        <v>3</v>
      </c>
      <c r="L4">
        <v>205000</v>
      </c>
      <c r="M4">
        <v>3</v>
      </c>
    </row>
    <row r="5" spans="1:13" x14ac:dyDescent="0.3">
      <c r="A5" s="1">
        <v>104</v>
      </c>
      <c r="B5" s="4" t="s">
        <v>15</v>
      </c>
      <c r="C5" s="4" t="s">
        <v>16</v>
      </c>
      <c r="D5" s="4" t="s">
        <v>17</v>
      </c>
      <c r="E5" s="4">
        <v>55000</v>
      </c>
      <c r="F5" s="4">
        <v>6</v>
      </c>
      <c r="G5" s="4">
        <v>4</v>
      </c>
    </row>
    <row r="6" spans="1:13" x14ac:dyDescent="0.3">
      <c r="A6" s="1">
        <v>105</v>
      </c>
      <c r="B6" s="4" t="s">
        <v>18</v>
      </c>
      <c r="C6" s="4" t="s">
        <v>8</v>
      </c>
      <c r="D6" s="4" t="s">
        <v>19</v>
      </c>
      <c r="E6" s="4">
        <v>30000</v>
      </c>
      <c r="F6" s="4">
        <v>1</v>
      </c>
      <c r="G6" s="4">
        <v>2</v>
      </c>
    </row>
    <row r="7" spans="1:13" x14ac:dyDescent="0.3">
      <c r="A7" s="1">
        <v>106</v>
      </c>
      <c r="B7" s="4" t="s">
        <v>20</v>
      </c>
      <c r="C7" s="4" t="s">
        <v>11</v>
      </c>
      <c r="D7" s="4" t="s">
        <v>21</v>
      </c>
      <c r="E7" s="4">
        <v>48000</v>
      </c>
      <c r="F7" s="4">
        <v>5</v>
      </c>
      <c r="G7" s="4">
        <v>4</v>
      </c>
    </row>
    <row r="8" spans="1:13" x14ac:dyDescent="0.3">
      <c r="A8" s="1">
        <v>107</v>
      </c>
      <c r="B8" s="4" t="s">
        <v>22</v>
      </c>
      <c r="C8" s="4" t="s">
        <v>16</v>
      </c>
      <c r="D8" s="4" t="s">
        <v>19</v>
      </c>
      <c r="E8" s="4">
        <v>70000</v>
      </c>
      <c r="F8" s="4">
        <v>10</v>
      </c>
      <c r="G8" s="4">
        <v>5</v>
      </c>
    </row>
    <row r="9" spans="1:13" x14ac:dyDescent="0.3">
      <c r="A9" s="1">
        <v>108</v>
      </c>
      <c r="B9" s="4" t="s">
        <v>23</v>
      </c>
      <c r="C9" s="4" t="s">
        <v>8</v>
      </c>
      <c r="D9" s="4" t="s">
        <v>17</v>
      </c>
      <c r="E9" s="4">
        <v>45000</v>
      </c>
      <c r="F9" s="4">
        <v>3</v>
      </c>
      <c r="G9" s="4"/>
    </row>
    <row r="10" spans="1:13" ht="28.8" x14ac:dyDescent="0.3">
      <c r="A10" s="1">
        <v>109</v>
      </c>
      <c r="B10" s="4" t="s">
        <v>24</v>
      </c>
      <c r="C10" s="4" t="s">
        <v>11</v>
      </c>
      <c r="D10" s="4" t="s">
        <v>14</v>
      </c>
      <c r="E10" s="4">
        <v>52000</v>
      </c>
      <c r="F10" s="4">
        <v>7</v>
      </c>
      <c r="G10" s="4">
        <v>4</v>
      </c>
      <c r="J10" cm="1">
        <f t="array" ref="J10:J12">COUNTIFS(C2:C11,J2:J4)</f>
        <v>4</v>
      </c>
      <c r="M10" cm="1">
        <f t="array" ref="M10:M12">SUMIFS(E2:E11,C2:C11,J2:J4)</f>
        <v>170000</v>
      </c>
    </row>
    <row r="11" spans="1:13" ht="28.8" x14ac:dyDescent="0.3">
      <c r="A11" s="1">
        <v>110</v>
      </c>
      <c r="B11" s="4" t="s">
        <v>25</v>
      </c>
      <c r="C11" s="4" t="s">
        <v>16</v>
      </c>
      <c r="D11" s="4" t="s">
        <v>9</v>
      </c>
      <c r="E11" s="4">
        <v>80000</v>
      </c>
      <c r="F11" s="4">
        <v>12</v>
      </c>
      <c r="G11" s="4">
        <v>5</v>
      </c>
      <c r="J11">
        <v>3</v>
      </c>
      <c r="M11">
        <v>142000</v>
      </c>
    </row>
    <row r="12" spans="1:13" x14ac:dyDescent="0.3">
      <c r="J12">
        <v>3</v>
      </c>
      <c r="M12">
        <v>205000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NELLORI PHANIRAJ</dc:creator>
  <cp:lastModifiedBy>NELLORI PHANIRAJ</cp:lastModifiedBy>
  <dcterms:created xsi:type="dcterms:W3CDTF">2026-01-14T08:12:35Z</dcterms:created>
  <dcterms:modified xsi:type="dcterms:W3CDTF">2026-01-14T08:49:03Z</dcterms:modified>
</cp:coreProperties>
</file>