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NI\Downloads\"/>
    </mc:Choice>
  </mc:AlternateContent>
  <xr:revisionPtr revIDLastSave="0" documentId="8_{F0DB2CBE-CAD6-4AF8-9CE3-F1F364EA9AAB}" xr6:coauthVersionLast="47" xr6:coauthVersionMax="47" xr10:uidLastSave="{00000000-0000-0000-0000-000000000000}"/>
  <bookViews>
    <workbookView xWindow="-108" yWindow="-108" windowWidth="23256" windowHeight="12456" activeTab="2" xr2:uid="{D809E559-02B3-4E3A-B4CD-5E58619AD4F3}"/>
  </bookViews>
  <sheets>
    <sheet name="Here done some power query" sheetId="3" r:id="rId1"/>
    <sheet name="Filtering_practice using filter" sheetId="4" r:id="rId2"/>
    <sheet name="practicing_sumifs and countifs" sheetId="2" r:id="rId3"/>
    <sheet name="choosecol function practice" sheetId="5" r:id="rId4"/>
    <sheet name="FIltering only male employee" sheetId="6" r:id="rId5"/>
  </sheets>
  <definedNames>
    <definedName name="ExternalData_1" localSheetId="0" hidden="1">'Here done some power query'!$A$1:$J$266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" l="1" a="1"/>
  <c r="A6" i="6" s="1"/>
  <c r="A5" i="6" a="1"/>
  <c r="A5" i="6" s="1"/>
  <c r="A3" i="5" a="1"/>
  <c r="A3" i="5" s="1"/>
  <c r="A2" i="4" a="1"/>
  <c r="A2" i="4" s="1"/>
  <c r="A3" i="4" a="1"/>
  <c r="A3" i="4" s="1"/>
  <c r="D2" i="2" a="1"/>
  <c r="D2" i="2" s="1"/>
  <c r="C2" i="2" a="1"/>
  <c r="C2" i="2" s="1"/>
  <c r="C14" i="2" s="1"/>
  <c r="B2" i="2" a="1"/>
  <c r="B2" i="2" s="1"/>
  <c r="C104857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AF6B07-9D61-4F84-AC5C-E16E607B6767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<sst xmlns="http://schemas.openxmlformats.org/spreadsheetml/2006/main" count="1890" uniqueCount="526">
  <si>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</si>
  <si>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</si>
  <si>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</si>
  <si>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</si>
  <si>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</si>
  <si>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</si>
  <si>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</si>
  <si>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</si>
  <si>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</si>
  <si>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</si>
  <si>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</si>
  <si>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</si>
  <si>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</si>
  <si>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</si>
  <si>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</si>
  <si>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</si>
  <si>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</si>
  <si>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</si>
  <si>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</si>
  <si>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</si>
  <si>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</si>
  <si>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</si>
  <si>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</si>
  <si>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</si>
  <si>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</si>
  <si>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Fixed Term</t>
  </si>
  <si>
    <t>TN02749</t>
  </si>
  <si>
    <t>Hyderabad, India</t>
  </si>
  <si>
    <t>SQ00144</t>
  </si>
  <si>
    <t>Collen Dunbleton</t>
  </si>
  <si>
    <t>Engineering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</si>
  <si>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</si>
  <si>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</si>
  <si>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</si>
  <si>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</si>
  <si>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</si>
  <si>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</si>
  <si>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</si>
  <si>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</si>
  <si>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</si>
  <si>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</si>
  <si>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</si>
  <si>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</si>
  <si>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</si>
  <si>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TN01281</t>
  </si>
  <si>
    <t xml:space="preserve">Cletus McGarahan </t>
  </si>
  <si>
    <t>PR04473</t>
  </si>
  <si>
    <t xml:space="preserve"> Wyn Treadger</t>
  </si>
  <si>
    <t>Columbus, USA</t>
  </si>
  <si>
    <t>VT02417</t>
  </si>
  <si>
    <t>Evangelina Lergan</t>
  </si>
  <si>
    <t>Temporary</t>
  </si>
  <si>
    <t>Auckland, New Zealand</t>
  </si>
  <si>
    <t>SQ00691</t>
  </si>
  <si>
    <t>Verla Timmis</t>
  </si>
  <si>
    <t>TN00214</t>
  </si>
  <si>
    <t>Chennai, India</t>
  </si>
  <si>
    <t>VT02539</t>
  </si>
  <si>
    <t>Devinne Tuny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</si>
  <si>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</si>
  <si>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</si>
  <si>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</si>
  <si>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</si>
  <si>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</si>
  <si>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</si>
  <si>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</si>
  <si>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</si>
  <si>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</si>
  <si>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</si>
  <si>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</si>
  <si>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TN03416</t>
  </si>
  <si>
    <t>Seward Kubera</t>
  </si>
  <si>
    <t>TN00890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</si>
  <si>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</si>
  <si>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</si>
  <si>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</si>
  <si>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</si>
  <si>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</si>
  <si>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</si>
  <si>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</si>
  <si>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</si>
  <si>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</si>
  <si>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</si>
  <si>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SQ01395</t>
  </si>
  <si>
    <t>Dennison Crosswaite</t>
  </si>
  <si>
    <t>Legal</t>
  </si>
  <si>
    <t>SQ02559</t>
  </si>
  <si>
    <t>Aldrich  Glenny</t>
  </si>
  <si>
    <t>VT04627</t>
  </si>
  <si>
    <t>Yvette  Bett</t>
  </si>
  <si>
    <t>VT03537</t>
  </si>
  <si>
    <t>Renaldo Thomassin</t>
  </si>
  <si>
    <t>PR01662</t>
  </si>
  <si>
    <t>Genevra Friday</t>
  </si>
  <si>
    <t>VT02313</t>
  </si>
  <si>
    <t>Thekla Lynnett</t>
  </si>
  <si>
    <t>SQ01620</t>
  </si>
  <si>
    <t>Westbrook Brandino</t>
  </si>
  <si>
    <t>VT04681</t>
  </si>
  <si>
    <t>Nickolai  Artin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</si>
  <si>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</si>
  <si>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</si>
  <si>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</si>
  <si>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</si>
  <si>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</si>
  <si>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</si>
  <si>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SQ01177</t>
  </si>
  <si>
    <t>VT01740</t>
  </si>
  <si>
    <t>Ginger  Myott</t>
  </si>
  <si>
    <t>TN01876</t>
  </si>
  <si>
    <t>Aileen McCritchie</t>
  </si>
  <si>
    <t>VT03988</t>
  </si>
  <si>
    <t>TN00227</t>
  </si>
  <si>
    <t>VT01092</t>
  </si>
  <si>
    <t>Tabby  Astall</t>
  </si>
  <si>
    <t>TN03169</t>
  </si>
  <si>
    <t>Doe Clubley</t>
  </si>
  <si>
    <t>SQ01402</t>
  </si>
  <si>
    <t>SQ00360</t>
  </si>
  <si>
    <t xml:space="preserve">Orlando Gorstidge </t>
  </si>
  <si>
    <t>PR02208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</si>
  <si>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</si>
  <si>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</si>
  <si>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</si>
  <si>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</si>
  <si>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</si>
  <si>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</si>
  <si>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</si>
  <si>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</si>
  <si>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</si>
  <si>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</si>
  <si>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SQ02525</t>
  </si>
  <si>
    <t>Mickie Dagwell</t>
  </si>
  <si>
    <t>TN02667</t>
  </si>
  <si>
    <t>Lizzie Mullally</t>
  </si>
  <si>
    <t>PR02782</t>
  </si>
  <si>
    <t>Isaak Rawne</t>
  </si>
  <si>
    <t>TN03331</t>
  </si>
  <si>
    <t>Crawford Scad</t>
  </si>
  <si>
    <t>VT01249</t>
  </si>
  <si>
    <t>Brendan  Edgeller</t>
  </si>
  <si>
    <t>PR00576</t>
  </si>
  <si>
    <t>VT02260</t>
  </si>
  <si>
    <t>Rhiamon Mollison</t>
  </si>
  <si>
    <t>TN02883</t>
  </si>
  <si>
    <t>SQ03024</t>
  </si>
  <si>
    <t>Inge Creer</t>
  </si>
  <si>
    <t>TN04428</t>
  </si>
  <si>
    <t>Tadio Audritt</t>
  </si>
  <si>
    <t>SQ03350</t>
  </si>
  <si>
    <t>Felice McMurty</t>
  </si>
  <si>
    <t>VT03421</t>
  </si>
  <si>
    <t>Alic Bagg</t>
  </si>
  <si>
    <t>PR01346</t>
  </si>
  <si>
    <t>Adolph McNalley</t>
  </si>
  <si>
    <t>VT02118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</si>
  <si>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</si>
  <si>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</si>
  <si>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</si>
  <si>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</si>
  <si>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</si>
  <si>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</si>
  <si>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</si>
  <si>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VT03307</t>
  </si>
  <si>
    <t>Tallie Chaikovski</t>
  </si>
  <si>
    <t>TN04058</t>
  </si>
  <si>
    <t>VT03993</t>
  </si>
  <si>
    <t>Dulce Colbeck</t>
  </si>
  <si>
    <t>VT02663</t>
  </si>
  <si>
    <t>PR03034</t>
  </si>
  <si>
    <t>PR01159</t>
  </si>
  <si>
    <t>Mollie  Hanway</t>
  </si>
  <si>
    <t>SQ03476</t>
  </si>
  <si>
    <t>PR04380</t>
  </si>
  <si>
    <t>Van Tuxwell</t>
  </si>
  <si>
    <t>TN00182</t>
  </si>
  <si>
    <t>Camilla Castle</t>
  </si>
  <si>
    <t>VT01523</t>
  </si>
  <si>
    <t>Charmane Heistermann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</si>
  <si>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</si>
  <si>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</si>
  <si>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</si>
  <si>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</si>
  <si>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</si>
  <si>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</si>
  <si>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</si>
  <si>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</si>
  <si>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</si>
  <si>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</si>
  <si>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VT04984</t>
  </si>
  <si>
    <t>Dell Molloy</t>
  </si>
  <si>
    <t>PR00095</t>
  </si>
  <si>
    <t>SQ03546</t>
  </si>
  <si>
    <t>VT02374</t>
  </si>
  <si>
    <t>Delphine Jewis</t>
  </si>
  <si>
    <t>SQ00450</t>
  </si>
  <si>
    <t xml:space="preserve"> Louise Lamming</t>
  </si>
  <si>
    <t>PR03804</t>
  </si>
  <si>
    <t>SQ04488</t>
  </si>
  <si>
    <t>TN00735</t>
  </si>
  <si>
    <t>Caresa Christer</t>
  </si>
  <si>
    <t>VT01893</t>
  </si>
  <si>
    <t>Lindy Guillet</t>
  </si>
  <si>
    <t>SQ02223</t>
  </si>
  <si>
    <t xml:space="preserve"> Pippy Shepperd</t>
  </si>
  <si>
    <t>PR02010</t>
  </si>
  <si>
    <t>SQ00498</t>
  </si>
  <si>
    <t>Amery Ofer</t>
  </si>
  <si>
    <t>PR02113</t>
  </si>
  <si>
    <t>Beverie Moffet</t>
  </si>
  <si>
    <t>TN00727</t>
  </si>
  <si>
    <t>Dulsea Folkes</t>
  </si>
  <si>
    <t>SQ01697</t>
  </si>
  <si>
    <t>SQ01519</t>
  </si>
  <si>
    <t>Caron Kolakovic</t>
  </si>
  <si>
    <t>VT03500</t>
  </si>
  <si>
    <t>SQ01962</t>
  </si>
  <si>
    <t>Lezlie Philcott</t>
  </si>
  <si>
    <t>TN01210</t>
  </si>
  <si>
    <t>Alyosha Riquet</t>
  </si>
  <si>
    <t>SQ02051</t>
  </si>
  <si>
    <t>SQ03321</t>
  </si>
  <si>
    <t>Gradey Litton</t>
  </si>
  <si>
    <t>SQ00841</t>
  </si>
  <si>
    <t>SQ04603</t>
  </si>
  <si>
    <t>Natalee Craiker</t>
  </si>
  <si>
    <t>TN01028</t>
  </si>
  <si>
    <t>Alicea Pudsall</t>
  </si>
  <si>
    <t>VT04028</t>
  </si>
  <si>
    <t>Michale Rolf</t>
  </si>
  <si>
    <t>TN03068</t>
  </si>
  <si>
    <t>VT03701</t>
  </si>
  <si>
    <t>TN04101</t>
  </si>
  <si>
    <t>Marline Wahncke</t>
  </si>
  <si>
    <t>TN01632</t>
  </si>
  <si>
    <t>Katya Hundy</t>
  </si>
  <si>
    <t>PR01956</t>
  </si>
  <si>
    <t xml:space="preserve"> Jamesy O'Ferris</t>
  </si>
  <si>
    <t>PR02140</t>
  </si>
  <si>
    <t>SQ03626</t>
  </si>
  <si>
    <t>VT01610</t>
  </si>
  <si>
    <t>TN01340</t>
  </si>
  <si>
    <t>Granny Spencelayh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</si>
  <si>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</si>
  <si>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</si>
  <si>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</si>
  <si>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</si>
  <si>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</si>
  <si>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</si>
  <si>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</si>
  <si>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</si>
  <si>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</si>
  <si>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TN01912</t>
  </si>
  <si>
    <t xml:space="preserve"> Fred Dudeney</t>
  </si>
  <si>
    <t>VT02319</t>
  </si>
  <si>
    <t>SQ04960</t>
  </si>
  <si>
    <t>SQ01829</t>
  </si>
  <si>
    <t>Mabel Orrow</t>
  </si>
  <si>
    <t>SQ00022</t>
  </si>
  <si>
    <t>Carlin Demke</t>
  </si>
  <si>
    <t>TN02798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</si>
  <si>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</si>
  <si>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</si>
  <si>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</si>
  <si>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</si>
  <si>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</si>
  <si>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</si>
  <si>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</si>
  <si>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</si>
  <si>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VT03704</t>
  </si>
  <si>
    <t>Egor Minto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</si>
  <si>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</si>
  <si>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</si>
  <si>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</si>
  <si>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</si>
  <si>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</si>
  <si>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</si>
  <si>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</si>
  <si>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</si>
  <si>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</si>
  <si>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</si>
  <si>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</si>
  <si>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</si>
  <si>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</si>
  <si>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</si>
  <si>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VT03552</t>
  </si>
  <si>
    <t>TN00083</t>
  </si>
  <si>
    <t>SQ02643</t>
  </si>
  <si>
    <t>TN02674</t>
  </si>
  <si>
    <t>Antonetta  Coggeshall</t>
  </si>
  <si>
    <t>TN02727</t>
  </si>
  <si>
    <t>Wald Bountiff</t>
  </si>
  <si>
    <t>VT01323</t>
  </si>
  <si>
    <t>PR03886</t>
  </si>
  <si>
    <t>Edd  MacKnockiter</t>
  </si>
  <si>
    <t>PR00746</t>
  </si>
  <si>
    <t>Hogan Iles</t>
  </si>
  <si>
    <t>SQ03387</t>
  </si>
  <si>
    <t>Robinia Scholling</t>
  </si>
  <si>
    <t>SQ00105</t>
  </si>
  <si>
    <t>SQ02424</t>
  </si>
  <si>
    <t>VT01703</t>
  </si>
  <si>
    <t>SQ02703</t>
  </si>
  <si>
    <t>VT04373</t>
  </si>
  <si>
    <t>Edi  Hofton</t>
  </si>
  <si>
    <t>SQ03733</t>
  </si>
  <si>
    <t>Revkah Antonacci</t>
  </si>
  <si>
    <t>VT04467</t>
  </si>
  <si>
    <t>PR02016</t>
  </si>
  <si>
    <t>Iris  Wagg</t>
  </si>
  <si>
    <t>VT04415</t>
  </si>
  <si>
    <t>Malory Biles</t>
  </si>
  <si>
    <t>TN04067</t>
  </si>
  <si>
    <t>Lea Chaplin</t>
  </si>
  <si>
    <t>TN04175</t>
  </si>
  <si>
    <t xml:space="preserve">Hinda Label </t>
  </si>
  <si>
    <t>VT00687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</si>
  <si>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</si>
  <si>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</si>
  <si>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</si>
  <si>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</si>
  <si>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</si>
  <si>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</si>
  <si>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SQ02174</t>
  </si>
  <si>
    <t>Sidoney Yitzhok</t>
  </si>
  <si>
    <t>PR02957</t>
  </si>
  <si>
    <t>Vaughn Carvill</t>
  </si>
  <si>
    <t>TN01601</t>
  </si>
  <si>
    <t>Melva  Jickells</t>
  </si>
  <si>
    <t>SQ01730</t>
  </si>
  <si>
    <t>Austine Littlewood</t>
  </si>
  <si>
    <t>TN03355</t>
  </si>
  <si>
    <t>Ruby Cracie</t>
  </si>
  <si>
    <t>VT01246</t>
  </si>
  <si>
    <t>Zach Polon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</si>
  <si>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</si>
  <si>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</si>
  <si>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</si>
  <si>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</si>
  <si>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</si>
  <si>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</si>
  <si>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</si>
  <si>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</si>
  <si>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VT03298</t>
  </si>
  <si>
    <t>Nonah Bissell</t>
  </si>
  <si>
    <t>TN04892</t>
  </si>
  <si>
    <t>Luca Wolstenholme</t>
  </si>
  <si>
    <t>PR01055</t>
  </si>
  <si>
    <t>SQ04437</t>
  </si>
  <si>
    <t>Hephzibah Summerell</t>
  </si>
  <si>
    <t>PR00770</t>
  </si>
  <si>
    <t>Beryl Burnsyde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</si>
  <si>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</si>
  <si>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</si>
  <si>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</si>
  <si>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</si>
  <si>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</si>
  <si>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</si>
  <si>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</si>
  <si>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</si>
  <si>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</si>
  <si>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VT00476</t>
  </si>
  <si>
    <t>Adolph  Hartin</t>
  </si>
  <si>
    <t>SQ04934</t>
  </si>
  <si>
    <t>Pedro St. Hill</t>
  </si>
  <si>
    <t>TN01566</t>
  </si>
  <si>
    <t xml:space="preserve">Fonzie O'Shea </t>
  </si>
  <si>
    <t>PR04851</t>
  </si>
  <si>
    <t>Rodina Drinan</t>
  </si>
  <si>
    <t>PR00007</t>
  </si>
  <si>
    <t>Torrance  Collier</t>
  </si>
  <si>
    <t>SQ03491</t>
  </si>
  <si>
    <t>Freda Legan</t>
  </si>
  <si>
    <t>SQ02465</t>
  </si>
  <si>
    <t>Bernie Gorges</t>
  </si>
  <si>
    <t>VT00194</t>
  </si>
  <si>
    <t>Violante Courtonne</t>
  </si>
  <si>
    <t>TN00328</t>
  </si>
  <si>
    <t>Jeannie Petracco</t>
  </si>
  <si>
    <t>PR03137</t>
  </si>
  <si>
    <t>PR00246</t>
  </si>
  <si>
    <t>Husein Augar</t>
  </si>
  <si>
    <t>SQ02371</t>
  </si>
  <si>
    <t>Alida Welman</t>
  </si>
  <si>
    <t>VT04350</t>
  </si>
  <si>
    <t>SQ02035</t>
  </si>
  <si>
    <t>Anni Izzard</t>
  </si>
  <si>
    <t>SQ00286</t>
  </si>
  <si>
    <t>TN02205</t>
  </si>
  <si>
    <t>VT00740</t>
  </si>
  <si>
    <t>PR01476</t>
  </si>
  <si>
    <t>SQ03112</t>
  </si>
  <si>
    <t>PR01943</t>
  </si>
  <si>
    <t>VT01996</t>
  </si>
  <si>
    <t>Hali Behnecke</t>
  </si>
  <si>
    <t>SQ02624</t>
  </si>
  <si>
    <t>Gwenneth Fealey</t>
  </si>
  <si>
    <t>SQ02565</t>
  </si>
  <si>
    <t>Konstantin Timblett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</si>
  <si>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</si>
  <si>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</si>
  <si>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</si>
  <si>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</si>
  <si>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</si>
  <si>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</si>
  <si>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</si>
  <si>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</si>
  <si>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VT03771</t>
  </si>
  <si>
    <t>Marjie Bamford</t>
  </si>
  <si>
    <t>SQ04613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</si>
  <si>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</si>
  <si>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</si>
  <si>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</si>
  <si>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</si>
  <si>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</si>
  <si>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</si>
  <si>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</si>
  <si>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</si>
  <si>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</si>
  <si>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</si>
  <si>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</si>
  <si>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</si>
  <si>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</si>
  <si>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</si>
  <si>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</si>
  <si>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</si>
  <si>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</si>
  <si>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</si>
  <si>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</si>
  <si>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</si>
  <si>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</si>
  <si>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</si>
  <si>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</si>
  <si>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</si>
  <si>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</si>
  <si>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</si>
  <si>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</si>
  <si>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</si>
  <si>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</si>
  <si>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</si>
  <si>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</si>
  <si>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</si>
  <si>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</si>
  <si>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</si>
  <si>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</si>
  <si>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</si>
  <si>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</si>
  <si>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</si>
  <si>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</si>
  <si>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</si>
  <si>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</si>
  <si>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</si>
  <si>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</si>
  <si>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</si>
  <si>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</si>
  <si>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</si>
  <si>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</si>
  <si>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</si>
  <si>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</si>
  <si>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</si>
  <si>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</si>
  <si>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</si>
  <si>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</si>
  <si>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</si>
  <si>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</si>
  <si>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</si>
  <si>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</si>
  <si>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</si>
  <si>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</si>
  <si>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</si>
  <si>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</si>
  <si>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</si>
  <si>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</si>
  <si>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</si>
  <si>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</si>
  <si>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</si>
  <si>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</si>
  <si>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</si>
  <si>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</si>
  <si>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</si>
  <si>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</si>
  <si>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</si>
  <si>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</si>
  <si>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</si>
  <si>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</si>
  <si>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</si>
  <si>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</si>
  <si>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</si>
  <si>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</si>
  <si>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</si>
  <si>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</si>
  <si>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</si>
  <si>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</si>
  <si>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</si>
  <si>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</si>
  <si>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</si>
  <si>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</si>
  <si>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</si>
  <si>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</si>
  <si>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</si>
  <si>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</si>
  <si>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</si>
  <si>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</si>
  <si>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</si>
  <si>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</si>
  <si>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</si>
  <si>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</si>
  <si>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</si>
  <si>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</si>
  <si>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sal_range</t>
  </si>
  <si>
    <t>Grater than 100k</t>
  </si>
  <si>
    <t>between 50k to 100k</t>
  </si>
  <si>
    <t>Not provided</t>
  </si>
  <si>
    <t>lessthan 50k</t>
  </si>
  <si>
    <t>count_of_emp</t>
  </si>
  <si>
    <t>total_sal</t>
  </si>
  <si>
    <t>permenant_head_count</t>
  </si>
  <si>
    <t>ALL EMPLOYESS&gt;100K</t>
  </si>
  <si>
    <t>Gettikng all employees salary&gt;100</t>
  </si>
  <si>
    <t>only columns of 1,2,3 using chooseolumns funcion</t>
  </si>
  <si>
    <t>&lt;-we can type what ever amount we need to filter that will be showing graterthan mentioned number</t>
  </si>
  <si>
    <t>salary</t>
  </si>
  <si>
    <t>we just need to change this male to female</t>
  </si>
  <si>
    <t>male</t>
  </si>
  <si>
    <t>we can change filter from male to felame and salary as well---&gt;</t>
  </si>
  <si>
    <t>toggle salary and male or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</si>
</sst>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7" formatCode="_ [$₹-4009]\ * #,##0_ ;_ [$₹-4009]\ * \-#,##0_ ;_ [$₹-4009]\ * &quot;-&quot;??_ ;_ @_ "/>
    <numFmt numFmtId="169" formatCode="_ &quot;₹&quot;\ * #,##0_ ;_ &quot;₹&quot;\ * \-#,##0_ ;_ &quot;₹&quot;\ * &quot;-&quot;??_ ;_ @_ "/>
  </numFmts>
  <fonts count="3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167" fontId="0" fillId="0" borderId="0" xfId="0" applyNumberFormat="1"/>
    <xf numFmtId="0" fontId="0" fillId="2" borderId="0" xfId="0" applyFill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ont="1" applyFill="1"/>
    <xf numFmtId="0" fontId="2" fillId="2" borderId="0" xfId="0" applyFont="1" applyFill="1"/>
    <xf numFmtId="14" fontId="2" fillId="2" borderId="0" xfId="0" applyNumberFormat="1" applyFont="1" applyFill="1"/>
    <xf numFmtId="169" fontId="0" fillId="0" borderId="0" xfId="1" applyNumberFormat="1" applyFont="1"/>
    <xf numFmtId="169" fontId="2" fillId="2" borderId="0" xfId="1" applyNumberFormat="1" applyFon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</cellXfs>
  <cellStyles count="2">
    <cellStyle name="Currency" xfId="1" builtinId="4"/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E4B771-F3D1-44AA-908C-8BEDA0CDD0DC}" autoFormatId="16" applyNumberFormats="0" applyBorderFormats="0" applyFontFormats="0" applyPatternFormats="0" applyAlignmentFormats="0" applyWidthHeightFormats="0">
  <queryTableRefresh nextId="11">
    <queryTableFields count="10">
      <queryTableField id="1" name="Emp ID" tableColumnId="1"/>
      <queryTableField id="2" name="Name" tableColumnId="2"/>
      <queryTableField id="3" name="Gender" tableColumnId="3"/>
      <queryTableField id="4" name="Department" tableColumnId="4"/>
      <queryTableField id="5" name="Salary" tableColumnId="5"/>
      <queryTableField id="6" name="sal_range" tableColumnId="6"/>
      <queryTableField id="7" name="Start Date" tableColumnId="7"/>
      <queryTableField id="8" name="FTE" tableColumnId="8"/>
      <queryTableField id="9" name="Employee type" tableColumnId="9"/>
      <queryTableField id="10" name="Work loca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C74995-BB2F-448F-94C9-FC9CB0D2FA66}" name="Staff" displayName="Staff" ref="A1:J266" tableType="queryTable" totalsRowShown="0">
  <autoFilter ref="A1:J266" xr:uid="{EDC74995-BB2F-448F-94C9-FC9CB0D2FA66}">
    <filterColumn colId="4">
      <customFilters>
        <customFilter operator="greaterThanOrEqual" val="100000"/>
      </customFilters>
    </filterColumn>
  </autoFilter>
  <tableColumns count="10">
    <tableColumn id="1" xr3:uid="{FF458C9F-DF9F-4B48-83FB-5E0F1634632F}" uniqueName="1" name="Emp ID" queryTableFieldId="1" dataDxfId="6"/>
    <tableColumn id="2" xr3:uid="{21325815-0467-4462-8D17-C8EFBE4EAA46}" uniqueName="2" name="Name" queryTableFieldId="2" dataDxfId="5"/>
    <tableColumn id="3" xr3:uid="{73754FD5-C2A8-4357-AB72-CB219EC077DC}" uniqueName="3" name="Gender" queryTableFieldId="3" dataDxfId="4"/>
    <tableColumn id="4" xr3:uid="{61DACE4E-501E-4EF8-A5B7-396164679AFD}" uniqueName="4" name="Department" queryTableFieldId="4" dataDxfId="3"/>
    <tableColumn id="5" xr3:uid="{26530F58-7509-46EB-BFAD-C5C117939297}" uniqueName="5" name="Salary" queryTableFieldId="5"/>
    <tableColumn id="6" xr3:uid="{9F40E262-D0AF-4E02-BD44-C4434D6E8EB0}" uniqueName="6" name="sal_range" queryTableFieldId="6"/>
    <tableColumn id="7" xr3:uid="{A9F4848E-18CB-48CB-B9A4-0AEFAFFBD6FD}" uniqueName="7" name="Start Date" queryTableFieldId="7" dataDxfId="2"/>
    <tableColumn id="8" xr3:uid="{2E76EE5F-99C2-4AA6-8249-233B120D03E2}" uniqueName="8" name="FTE" queryTableFieldId="8"/>
    <tableColumn id="9" xr3:uid="{AE5314DD-0497-4340-AEBD-40123A08E731}" uniqueName="9" name="Employee type" queryTableFieldId="9" dataDxfId="1"/>
    <tableColumn id="10" xr3:uid="{CCF764BD-DF76-4F05-8B18-EA4B35029DFC}" uniqueName="10" name="Work location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1FCA-DA98-4405-8C8B-D44425BF3761}">
  <dimension ref="A1:J266"/>
  <sheetViews>
    <sheetView topLeftCell="B1" workbookViewId="0">
      <selection activeCell="F2" sqref="F2"/>
    </sheetView>
  </sheetViews>
  <sheetFormatPr defaultRowHeight="18" x14ac:dyDescent="0.35"/>
  <cols>
    <col min="1" max="1" width="8.08203125" bestFit="1" customWidth="1"/>
    <col min="2" max="2" width="24.4140625" bestFit="1" customWidth="1"/>
    <col min="3" max="3" width="10.6640625" bestFit="1" customWidth="1"/>
    <col min="4" max="4" width="22.08203125" bestFit="1" customWidth="1"/>
    <col min="5" max="5" width="9.75" bestFit="1" customWidth="1"/>
    <col min="6" max="6" width="16.6640625" bestFit="1" customWidth="1"/>
    <col min="7" max="7" width="10.25" bestFit="1" customWidth="1"/>
    <col min="8" max="8" width="5.1640625" bestFit="1" customWidth="1"/>
    <col min="9" max="9" width="14.08203125" bestFit="1" customWidth="1"/>
    <col min="10" max="10" width="20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509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s="2" t="s">
        <v>9</v>
      </c>
      <c r="B2" s="2" t="s">
        <v>10</v>
      </c>
      <c r="C2" s="2" t="s">
        <v>11</v>
      </c>
      <c r="D2" s="2" t="s">
        <v>30</v>
      </c>
      <c r="E2">
        <v>120000</v>
      </c>
      <c r="F2" t="s">
        <v>510</v>
      </c>
      <c r="G2" s="3">
        <v>43416</v>
      </c>
      <c r="H2">
        <v>1</v>
      </c>
      <c r="I2" s="2" t="s">
        <v>12</v>
      </c>
      <c r="J2" s="2" t="s">
        <v>13</v>
      </c>
    </row>
    <row r="3" spans="1:10" hidden="1" x14ac:dyDescent="0.35">
      <c r="A3" s="2" t="s">
        <v>14</v>
      </c>
      <c r="B3" s="2" t="s">
        <v>15</v>
      </c>
      <c r="C3" s="2" t="s">
        <v>16</v>
      </c>
      <c r="D3" s="2" t="s">
        <v>17</v>
      </c>
      <c r="E3">
        <v>98000</v>
      </c>
      <c r="F3" t="s">
        <v>511</v>
      </c>
      <c r="G3" s="3">
        <v>43710</v>
      </c>
      <c r="H3">
        <v>0.9</v>
      </c>
      <c r="I3" s="2" t="s">
        <v>12</v>
      </c>
      <c r="J3" s="2" t="s">
        <v>18</v>
      </c>
    </row>
    <row r="4" spans="1:10" x14ac:dyDescent="0.35">
      <c r="A4" s="2" t="s">
        <v>19</v>
      </c>
      <c r="B4" s="2" t="s">
        <v>20</v>
      </c>
      <c r="C4" s="2" t="s">
        <v>16</v>
      </c>
      <c r="D4" s="2" t="s">
        <v>21</v>
      </c>
      <c r="E4">
        <v>120000</v>
      </c>
      <c r="F4" t="s">
        <v>510</v>
      </c>
      <c r="G4" s="3">
        <v>43902</v>
      </c>
      <c r="H4">
        <v>0.9</v>
      </c>
      <c r="I4" s="2" t="s">
        <v>12</v>
      </c>
      <c r="J4" s="2" t="s">
        <v>13</v>
      </c>
    </row>
    <row r="5" spans="1:10" hidden="1" x14ac:dyDescent="0.35">
      <c r="A5" s="2" t="s">
        <v>22</v>
      </c>
      <c r="B5" s="2" t="s">
        <v>23</v>
      </c>
      <c r="C5" s="2" t="s">
        <v>16</v>
      </c>
      <c r="D5" s="2" t="s">
        <v>24</v>
      </c>
      <c r="E5">
        <v>93128.34</v>
      </c>
      <c r="F5" t="s">
        <v>511</v>
      </c>
      <c r="G5" s="3">
        <v>43164</v>
      </c>
      <c r="H5">
        <v>1</v>
      </c>
      <c r="I5" s="2" t="s">
        <v>25</v>
      </c>
      <c r="J5" s="2" t="s">
        <v>18</v>
      </c>
    </row>
    <row r="6" spans="1:10" hidden="1" x14ac:dyDescent="0.35">
      <c r="A6" s="2" t="s">
        <v>26</v>
      </c>
      <c r="B6" s="2" t="s">
        <v>426</v>
      </c>
      <c r="C6" s="2" t="s">
        <v>16</v>
      </c>
      <c r="D6" s="2" t="s">
        <v>24</v>
      </c>
      <c r="E6">
        <v>57002.02</v>
      </c>
      <c r="F6" t="s">
        <v>511</v>
      </c>
      <c r="G6" s="3">
        <v>43192</v>
      </c>
      <c r="H6">
        <v>0.7</v>
      </c>
      <c r="I6" s="2" t="s">
        <v>12</v>
      </c>
      <c r="J6" s="2" t="s">
        <v>27</v>
      </c>
    </row>
    <row r="7" spans="1:10" x14ac:dyDescent="0.35">
      <c r="A7" s="2" t="s">
        <v>28</v>
      </c>
      <c r="B7" s="2" t="s">
        <v>29</v>
      </c>
      <c r="C7" s="2" t="s">
        <v>11</v>
      </c>
      <c r="D7" s="2" t="s">
        <v>30</v>
      </c>
      <c r="E7">
        <v>118976.16</v>
      </c>
      <c r="F7" t="s">
        <v>510</v>
      </c>
      <c r="G7" s="3">
        <v>44120</v>
      </c>
      <c r="H7">
        <v>1</v>
      </c>
      <c r="I7" s="2" t="s">
        <v>12</v>
      </c>
      <c r="J7" s="2" t="s">
        <v>31</v>
      </c>
    </row>
    <row r="8" spans="1:10" x14ac:dyDescent="0.35">
      <c r="A8" s="2" t="s">
        <v>32</v>
      </c>
      <c r="B8" s="2" t="s">
        <v>427</v>
      </c>
      <c r="C8" s="2" t="s">
        <v>512</v>
      </c>
      <c r="D8" s="2" t="s">
        <v>33</v>
      </c>
      <c r="E8">
        <v>104802.63</v>
      </c>
      <c r="F8" t="s">
        <v>510</v>
      </c>
      <c r="G8" s="3">
        <v>44502</v>
      </c>
      <c r="H8">
        <v>1</v>
      </c>
      <c r="I8" s="2" t="s">
        <v>12</v>
      </c>
      <c r="J8" s="2" t="s">
        <v>27</v>
      </c>
    </row>
    <row r="9" spans="1:10" hidden="1" x14ac:dyDescent="0.35">
      <c r="A9" s="2" t="s">
        <v>34</v>
      </c>
      <c r="B9" s="2" t="s">
        <v>35</v>
      </c>
      <c r="C9" s="2" t="s">
        <v>16</v>
      </c>
      <c r="D9" s="2" t="s">
        <v>36</v>
      </c>
      <c r="E9">
        <v>66017.179999999993</v>
      </c>
      <c r="F9" t="s">
        <v>511</v>
      </c>
      <c r="G9" s="3">
        <v>43643</v>
      </c>
      <c r="H9">
        <v>0.9</v>
      </c>
      <c r="I9" s="2" t="s">
        <v>12</v>
      </c>
      <c r="J9" s="2" t="s">
        <v>13</v>
      </c>
    </row>
    <row r="10" spans="1:10" hidden="1" x14ac:dyDescent="0.35">
      <c r="A10" s="2" t="s">
        <v>37</v>
      </c>
      <c r="B10" s="2" t="s">
        <v>38</v>
      </c>
      <c r="C10" s="2" t="s">
        <v>11</v>
      </c>
      <c r="D10" s="2" t="s">
        <v>39</v>
      </c>
      <c r="E10">
        <v>74279.009999999995</v>
      </c>
      <c r="F10" t="s">
        <v>511</v>
      </c>
      <c r="G10" s="3">
        <v>43466</v>
      </c>
      <c r="H10">
        <v>1</v>
      </c>
      <c r="I10" s="2" t="s">
        <v>12</v>
      </c>
      <c r="J10" s="2" t="s">
        <v>31</v>
      </c>
    </row>
    <row r="11" spans="1:10" hidden="1" x14ac:dyDescent="0.35">
      <c r="A11" s="2" t="s">
        <v>40</v>
      </c>
      <c r="B11" s="2" t="s">
        <v>41</v>
      </c>
      <c r="C11" s="2" t="s">
        <v>16</v>
      </c>
      <c r="D11" s="2" t="s">
        <v>17</v>
      </c>
      <c r="E11">
        <v>68980.52</v>
      </c>
      <c r="F11" t="s">
        <v>511</v>
      </c>
      <c r="G11" s="3">
        <v>43494</v>
      </c>
      <c r="H11">
        <v>0.8</v>
      </c>
      <c r="I11" s="2" t="s">
        <v>12</v>
      </c>
      <c r="J11" s="2" t="s">
        <v>13</v>
      </c>
    </row>
    <row r="12" spans="1:10" hidden="1" x14ac:dyDescent="0.35">
      <c r="A12" s="2" t="s">
        <v>42</v>
      </c>
      <c r="B12" s="2" t="s">
        <v>43</v>
      </c>
      <c r="C12" s="2" t="s">
        <v>16</v>
      </c>
      <c r="D12" s="2" t="s">
        <v>21</v>
      </c>
      <c r="E12">
        <v>42314.39</v>
      </c>
      <c r="F12" t="s">
        <v>513</v>
      </c>
      <c r="G12" s="3">
        <v>44487</v>
      </c>
      <c r="H12">
        <v>1</v>
      </c>
      <c r="I12" s="2" t="s">
        <v>25</v>
      </c>
      <c r="J12" s="2" t="s">
        <v>13</v>
      </c>
    </row>
    <row r="13" spans="1:10" x14ac:dyDescent="0.35">
      <c r="A13" s="2" t="s">
        <v>44</v>
      </c>
      <c r="B13" s="2" t="s">
        <v>45</v>
      </c>
      <c r="C13" s="2" t="s">
        <v>16</v>
      </c>
      <c r="D13" s="2" t="s">
        <v>30</v>
      </c>
      <c r="E13">
        <v>114425.19</v>
      </c>
      <c r="F13" t="s">
        <v>510</v>
      </c>
      <c r="G13" s="3">
        <v>43857</v>
      </c>
      <c r="H13">
        <v>1</v>
      </c>
      <c r="I13" s="2" t="s">
        <v>12</v>
      </c>
      <c r="J13" s="2" t="s">
        <v>31</v>
      </c>
    </row>
    <row r="14" spans="1:10" hidden="1" x14ac:dyDescent="0.35">
      <c r="A14" s="2" t="s">
        <v>46</v>
      </c>
      <c r="B14" s="2" t="s">
        <v>47</v>
      </c>
      <c r="C14" s="2" t="s">
        <v>16</v>
      </c>
      <c r="D14" s="2" t="s">
        <v>17</v>
      </c>
      <c r="E14">
        <v>69192.850000000006</v>
      </c>
      <c r="F14" t="s">
        <v>511</v>
      </c>
      <c r="G14" s="3">
        <v>44305</v>
      </c>
      <c r="H14">
        <v>1</v>
      </c>
      <c r="I14" s="2" t="s">
        <v>12</v>
      </c>
      <c r="J14" s="2" t="s">
        <v>48</v>
      </c>
    </row>
    <row r="15" spans="1:10" hidden="1" x14ac:dyDescent="0.35">
      <c r="A15" s="2" t="s">
        <v>49</v>
      </c>
      <c r="B15" s="2" t="s">
        <v>50</v>
      </c>
      <c r="C15" s="2" t="s">
        <v>11</v>
      </c>
      <c r="D15" s="2" t="s">
        <v>33</v>
      </c>
      <c r="E15">
        <v>61214.26</v>
      </c>
      <c r="F15" t="s">
        <v>511</v>
      </c>
      <c r="G15" s="3">
        <v>43171</v>
      </c>
      <c r="H15">
        <v>1</v>
      </c>
      <c r="I15" s="2" t="s">
        <v>51</v>
      </c>
      <c r="J15" s="2" t="s">
        <v>52</v>
      </c>
    </row>
    <row r="16" spans="1:10" hidden="1" x14ac:dyDescent="0.35">
      <c r="A16" s="2" t="s">
        <v>53</v>
      </c>
      <c r="B16" s="2" t="s">
        <v>54</v>
      </c>
      <c r="C16" s="2" t="s">
        <v>11</v>
      </c>
      <c r="D16" s="2" t="s">
        <v>33</v>
      </c>
      <c r="E16">
        <v>54137.05</v>
      </c>
      <c r="F16" t="s">
        <v>511</v>
      </c>
      <c r="G16" s="3">
        <v>43763</v>
      </c>
      <c r="H16">
        <v>1</v>
      </c>
      <c r="I16" s="2" t="s">
        <v>12</v>
      </c>
      <c r="J16" s="2" t="s">
        <v>13</v>
      </c>
    </row>
    <row r="17" spans="1:10" hidden="1" x14ac:dyDescent="0.35">
      <c r="A17" s="2" t="s">
        <v>55</v>
      </c>
      <c r="B17" s="2" t="s">
        <v>428</v>
      </c>
      <c r="C17" s="2" t="s">
        <v>16</v>
      </c>
      <c r="D17" s="2" t="s">
        <v>24</v>
      </c>
      <c r="E17">
        <v>37902.35</v>
      </c>
      <c r="F17" t="s">
        <v>513</v>
      </c>
      <c r="G17" s="3">
        <v>43823</v>
      </c>
      <c r="H17">
        <v>1</v>
      </c>
      <c r="I17" s="2" t="s">
        <v>12</v>
      </c>
      <c r="J17" s="2" t="s">
        <v>56</v>
      </c>
    </row>
    <row r="18" spans="1:10" hidden="1" x14ac:dyDescent="0.35">
      <c r="A18" s="2" t="s">
        <v>57</v>
      </c>
      <c r="B18" s="2" t="s">
        <v>58</v>
      </c>
      <c r="C18" s="2" t="s">
        <v>11</v>
      </c>
      <c r="D18" s="2" t="s">
        <v>30</v>
      </c>
      <c r="E18">
        <v>39969.72</v>
      </c>
      <c r="F18" t="s">
        <v>513</v>
      </c>
      <c r="G18" s="3">
        <v>43444</v>
      </c>
      <c r="H18">
        <v>1</v>
      </c>
      <c r="I18" s="2" t="s">
        <v>51</v>
      </c>
      <c r="J18" s="2" t="s">
        <v>48</v>
      </c>
    </row>
    <row r="19" spans="1:10" hidden="1" x14ac:dyDescent="0.35">
      <c r="A19" s="2" t="s">
        <v>59</v>
      </c>
      <c r="B19" s="2" t="s">
        <v>60</v>
      </c>
      <c r="C19" s="2" t="s">
        <v>11</v>
      </c>
      <c r="D19" s="2" t="s">
        <v>21</v>
      </c>
      <c r="E19">
        <v>69913.39</v>
      </c>
      <c r="F19" t="s">
        <v>511</v>
      </c>
      <c r="G19" s="3">
        <v>43584</v>
      </c>
      <c r="H19">
        <v>1</v>
      </c>
      <c r="I19" s="2" t="s">
        <v>12</v>
      </c>
      <c r="J19" s="2" t="s">
        <v>13</v>
      </c>
    </row>
    <row r="20" spans="1:10" hidden="1" x14ac:dyDescent="0.35">
      <c r="A20" s="2" t="s">
        <v>61</v>
      </c>
      <c r="B20" s="2" t="s">
        <v>429</v>
      </c>
      <c r="C20" s="2" t="s">
        <v>11</v>
      </c>
      <c r="D20" s="2" t="s">
        <v>39</v>
      </c>
      <c r="E20">
        <v>52748.63</v>
      </c>
      <c r="F20" t="s">
        <v>511</v>
      </c>
      <c r="G20" s="3">
        <v>43857</v>
      </c>
      <c r="H20">
        <v>1</v>
      </c>
      <c r="I20" s="2" t="s">
        <v>12</v>
      </c>
      <c r="J20" s="2" t="s">
        <v>56</v>
      </c>
    </row>
    <row r="21" spans="1:10" hidden="1" x14ac:dyDescent="0.35">
      <c r="A21" s="2" t="s">
        <v>62</v>
      </c>
      <c r="B21" s="2" t="s">
        <v>430</v>
      </c>
      <c r="C21" s="2" t="s">
        <v>11</v>
      </c>
      <c r="D21" s="2" t="s">
        <v>63</v>
      </c>
      <c r="E21">
        <v>50310.09</v>
      </c>
      <c r="F21" t="s">
        <v>511</v>
      </c>
      <c r="G21" s="3">
        <v>44285</v>
      </c>
      <c r="H21">
        <v>0.4</v>
      </c>
      <c r="I21" s="2" t="s">
        <v>12</v>
      </c>
      <c r="J21" s="2" t="s">
        <v>27</v>
      </c>
    </row>
    <row r="22" spans="1:10" hidden="1" x14ac:dyDescent="0.35">
      <c r="A22" s="2" t="s">
        <v>64</v>
      </c>
      <c r="B22" s="2" t="s">
        <v>65</v>
      </c>
      <c r="C22" s="2" t="s">
        <v>11</v>
      </c>
      <c r="D22" s="2" t="s">
        <v>66</v>
      </c>
      <c r="E22">
        <v>52963.65</v>
      </c>
      <c r="F22" t="s">
        <v>511</v>
      </c>
      <c r="G22" s="3">
        <v>44288</v>
      </c>
      <c r="H22">
        <v>0.3</v>
      </c>
      <c r="I22" s="2" t="s">
        <v>12</v>
      </c>
      <c r="J22" s="2" t="s">
        <v>48</v>
      </c>
    </row>
    <row r="23" spans="1:10" hidden="1" x14ac:dyDescent="0.35">
      <c r="A23" s="2" t="s">
        <v>67</v>
      </c>
      <c r="B23" s="2" t="s">
        <v>68</v>
      </c>
      <c r="C23" s="2" t="s">
        <v>11</v>
      </c>
      <c r="D23" s="2" t="s">
        <v>69</v>
      </c>
      <c r="E23">
        <v>62195.47</v>
      </c>
      <c r="F23" t="s">
        <v>511</v>
      </c>
      <c r="G23" s="3">
        <v>44434</v>
      </c>
      <c r="H23">
        <v>1</v>
      </c>
      <c r="I23" s="2" t="s">
        <v>12</v>
      </c>
      <c r="J23" s="2" t="s">
        <v>13</v>
      </c>
    </row>
    <row r="24" spans="1:10" hidden="1" x14ac:dyDescent="0.35">
      <c r="A24" s="2" t="s">
        <v>70</v>
      </c>
      <c r="B24" s="2" t="s">
        <v>71</v>
      </c>
      <c r="C24" s="2" t="s">
        <v>11</v>
      </c>
      <c r="D24" s="2" t="s">
        <v>30</v>
      </c>
      <c r="E24">
        <v>43329.22</v>
      </c>
      <c r="F24" t="s">
        <v>513</v>
      </c>
      <c r="G24" s="3">
        <v>43809</v>
      </c>
      <c r="H24">
        <v>0.5</v>
      </c>
      <c r="I24" s="2" t="s">
        <v>25</v>
      </c>
      <c r="J24" s="2" t="s">
        <v>13</v>
      </c>
    </row>
    <row r="25" spans="1:10" hidden="1" x14ac:dyDescent="0.35">
      <c r="A25" s="2" t="s">
        <v>72</v>
      </c>
      <c r="B25" s="2" t="s">
        <v>431</v>
      </c>
      <c r="C25" s="2" t="s">
        <v>16</v>
      </c>
      <c r="D25" s="2" t="s">
        <v>24</v>
      </c>
      <c r="E25">
        <v>71570.990000000005</v>
      </c>
      <c r="F25" t="s">
        <v>511</v>
      </c>
      <c r="G25" s="3">
        <v>44249</v>
      </c>
      <c r="H25">
        <v>0.5</v>
      </c>
      <c r="I25" s="2" t="s">
        <v>12</v>
      </c>
      <c r="J25" s="2" t="s">
        <v>27</v>
      </c>
    </row>
    <row r="26" spans="1:10" hidden="1" x14ac:dyDescent="0.35">
      <c r="A26" s="2" t="s">
        <v>73</v>
      </c>
      <c r="B26" s="2" t="s">
        <v>74</v>
      </c>
      <c r="C26" s="2" t="s">
        <v>512</v>
      </c>
      <c r="D26" s="2" t="s">
        <v>24</v>
      </c>
      <c r="E26">
        <v>78840.23</v>
      </c>
      <c r="F26" t="s">
        <v>511</v>
      </c>
      <c r="G26" s="3">
        <v>43633</v>
      </c>
      <c r="H26">
        <v>1</v>
      </c>
      <c r="I26" s="2" t="s">
        <v>51</v>
      </c>
      <c r="J26" s="2" t="s">
        <v>13</v>
      </c>
    </row>
    <row r="27" spans="1:10" hidden="1" x14ac:dyDescent="0.35">
      <c r="A27" s="2" t="s">
        <v>75</v>
      </c>
      <c r="B27" s="2" t="s">
        <v>432</v>
      </c>
      <c r="C27" s="2" t="s">
        <v>16</v>
      </c>
      <c r="D27" s="2" t="s">
        <v>63</v>
      </c>
      <c r="E27">
        <v>61994.76</v>
      </c>
      <c r="F27" t="s">
        <v>511</v>
      </c>
      <c r="G27" s="3">
        <v>43794</v>
      </c>
      <c r="H27">
        <v>0.3</v>
      </c>
      <c r="I27" s="2" t="s">
        <v>12</v>
      </c>
      <c r="J27" s="2" t="s">
        <v>27</v>
      </c>
    </row>
    <row r="28" spans="1:10" hidden="1" x14ac:dyDescent="0.35">
      <c r="A28" s="2" t="s">
        <v>76</v>
      </c>
      <c r="B28" s="2" t="s">
        <v>77</v>
      </c>
      <c r="C28" s="2" t="s">
        <v>16</v>
      </c>
      <c r="D28" s="2" t="s">
        <v>21</v>
      </c>
      <c r="E28">
        <v>89690.38</v>
      </c>
      <c r="F28" t="s">
        <v>511</v>
      </c>
      <c r="G28" s="3">
        <v>43206</v>
      </c>
      <c r="H28">
        <v>1</v>
      </c>
      <c r="I28" s="2" t="s">
        <v>12</v>
      </c>
      <c r="J28" s="2" t="s">
        <v>31</v>
      </c>
    </row>
    <row r="29" spans="1:10" x14ac:dyDescent="0.35">
      <c r="A29" s="2" t="s">
        <v>78</v>
      </c>
      <c r="B29" s="2" t="s">
        <v>79</v>
      </c>
      <c r="C29" s="2" t="s">
        <v>11</v>
      </c>
      <c r="D29" s="2" t="s">
        <v>80</v>
      </c>
      <c r="E29">
        <v>104335.03999999999</v>
      </c>
      <c r="F29" t="s">
        <v>510</v>
      </c>
      <c r="G29" s="3">
        <v>43874</v>
      </c>
      <c r="H29">
        <v>1</v>
      </c>
      <c r="I29" s="2" t="s">
        <v>12</v>
      </c>
      <c r="J29" s="2" t="s">
        <v>48</v>
      </c>
    </row>
    <row r="30" spans="1:10" hidden="1" x14ac:dyDescent="0.35">
      <c r="A30" s="2" t="s">
        <v>81</v>
      </c>
      <c r="B30" s="2" t="s">
        <v>82</v>
      </c>
      <c r="C30" s="2" t="s">
        <v>11</v>
      </c>
      <c r="D30" s="2" t="s">
        <v>66</v>
      </c>
      <c r="E30">
        <v>52246.29</v>
      </c>
      <c r="F30" t="s">
        <v>511</v>
      </c>
      <c r="G30" s="3">
        <v>43573</v>
      </c>
      <c r="H30">
        <v>1</v>
      </c>
      <c r="I30" s="2" t="s">
        <v>51</v>
      </c>
      <c r="J30" s="2" t="s">
        <v>31</v>
      </c>
    </row>
    <row r="31" spans="1:10" hidden="1" x14ac:dyDescent="0.35">
      <c r="A31" s="2" t="s">
        <v>83</v>
      </c>
      <c r="B31" s="2" t="s">
        <v>84</v>
      </c>
      <c r="C31" s="2" t="s">
        <v>11</v>
      </c>
      <c r="D31" s="2" t="s">
        <v>85</v>
      </c>
      <c r="E31">
        <v>90697.67</v>
      </c>
      <c r="F31" t="s">
        <v>511</v>
      </c>
      <c r="G31" s="3">
        <v>44221</v>
      </c>
      <c r="H31">
        <v>0.8</v>
      </c>
      <c r="I31" s="2" t="s">
        <v>12</v>
      </c>
      <c r="J31" s="2" t="s">
        <v>18</v>
      </c>
    </row>
    <row r="32" spans="1:10" hidden="1" x14ac:dyDescent="0.35">
      <c r="A32" s="2" t="s">
        <v>86</v>
      </c>
      <c r="B32" s="2" t="s">
        <v>87</v>
      </c>
      <c r="C32" s="2" t="s">
        <v>11</v>
      </c>
      <c r="D32" s="2" t="s">
        <v>17</v>
      </c>
      <c r="E32">
        <v>90884.32</v>
      </c>
      <c r="F32" t="s">
        <v>511</v>
      </c>
      <c r="G32" s="3">
        <v>43826</v>
      </c>
      <c r="H32">
        <v>1</v>
      </c>
      <c r="I32" s="2" t="s">
        <v>12</v>
      </c>
      <c r="J32" s="2" t="s">
        <v>48</v>
      </c>
    </row>
    <row r="33" spans="1:10" hidden="1" x14ac:dyDescent="0.35">
      <c r="A33" s="2" t="s">
        <v>88</v>
      </c>
      <c r="B33" s="2" t="s">
        <v>89</v>
      </c>
      <c r="C33" s="2" t="s">
        <v>11</v>
      </c>
      <c r="D33" s="2" t="s">
        <v>63</v>
      </c>
      <c r="E33">
        <v>76320.44</v>
      </c>
      <c r="F33" t="s">
        <v>511</v>
      </c>
      <c r="G33" s="3">
        <v>44383</v>
      </c>
      <c r="H33">
        <v>0.8</v>
      </c>
      <c r="I33" s="2" t="s">
        <v>51</v>
      </c>
      <c r="J33" s="2" t="s">
        <v>13</v>
      </c>
    </row>
    <row r="34" spans="1:10" hidden="1" x14ac:dyDescent="0.35">
      <c r="A34" s="2" t="s">
        <v>90</v>
      </c>
      <c r="B34" s="2" t="s">
        <v>91</v>
      </c>
      <c r="C34" s="2" t="s">
        <v>11</v>
      </c>
      <c r="D34" s="2" t="s">
        <v>17</v>
      </c>
      <c r="E34">
        <v>73360.38</v>
      </c>
      <c r="F34" t="s">
        <v>511</v>
      </c>
      <c r="G34" s="3">
        <v>43972</v>
      </c>
      <c r="H34">
        <v>1</v>
      </c>
      <c r="I34" s="2" t="s">
        <v>51</v>
      </c>
      <c r="J34" s="2" t="s">
        <v>13</v>
      </c>
    </row>
    <row r="35" spans="1:10" hidden="1" x14ac:dyDescent="0.35">
      <c r="A35" s="2" t="s">
        <v>92</v>
      </c>
      <c r="B35" s="2" t="s">
        <v>93</v>
      </c>
      <c r="C35" s="2" t="s">
        <v>16</v>
      </c>
      <c r="D35" s="2" t="s">
        <v>39</v>
      </c>
      <c r="E35">
        <v>50449.46</v>
      </c>
      <c r="F35" t="s">
        <v>511</v>
      </c>
      <c r="G35" s="3">
        <v>43418</v>
      </c>
      <c r="H35">
        <v>0.8</v>
      </c>
      <c r="I35" s="2" t="s">
        <v>12</v>
      </c>
      <c r="J35" s="2" t="s">
        <v>52</v>
      </c>
    </row>
    <row r="36" spans="1:10" hidden="1" x14ac:dyDescent="0.35">
      <c r="A36" s="2" t="s">
        <v>94</v>
      </c>
      <c r="B36" s="2" t="s">
        <v>95</v>
      </c>
      <c r="C36" s="2" t="s">
        <v>11</v>
      </c>
      <c r="D36" s="2" t="s">
        <v>24</v>
      </c>
      <c r="E36">
        <v>53949.26</v>
      </c>
      <c r="F36" t="s">
        <v>511</v>
      </c>
      <c r="G36" s="3">
        <v>43808</v>
      </c>
      <c r="H36">
        <v>1</v>
      </c>
      <c r="I36" s="2" t="s">
        <v>51</v>
      </c>
      <c r="J36" s="2" t="s">
        <v>48</v>
      </c>
    </row>
    <row r="37" spans="1:10" x14ac:dyDescent="0.35">
      <c r="A37" s="2" t="s">
        <v>96</v>
      </c>
      <c r="B37" s="2" t="s">
        <v>97</v>
      </c>
      <c r="C37" s="2" t="s">
        <v>11</v>
      </c>
      <c r="D37" s="2" t="s">
        <v>85</v>
      </c>
      <c r="E37">
        <v>113616.23</v>
      </c>
      <c r="F37" t="s">
        <v>510</v>
      </c>
      <c r="G37" s="3">
        <v>43255</v>
      </c>
      <c r="H37">
        <v>1</v>
      </c>
      <c r="I37" s="2" t="s">
        <v>12</v>
      </c>
      <c r="J37" s="2" t="s">
        <v>13</v>
      </c>
    </row>
    <row r="38" spans="1:10" x14ac:dyDescent="0.35">
      <c r="A38" s="2" t="s">
        <v>98</v>
      </c>
      <c r="B38" s="2" t="s">
        <v>99</v>
      </c>
      <c r="C38" s="2" t="s">
        <v>16</v>
      </c>
      <c r="D38" s="2" t="s">
        <v>80</v>
      </c>
      <c r="E38">
        <v>110906.35</v>
      </c>
      <c r="F38" t="s">
        <v>510</v>
      </c>
      <c r="G38" s="3">
        <v>43434</v>
      </c>
      <c r="H38">
        <v>1</v>
      </c>
      <c r="I38" s="2" t="s">
        <v>51</v>
      </c>
      <c r="J38" s="2" t="s">
        <v>31</v>
      </c>
    </row>
    <row r="39" spans="1:10" x14ac:dyDescent="0.35">
      <c r="A39" s="2" t="s">
        <v>100</v>
      </c>
      <c r="B39" s="2" t="s">
        <v>101</v>
      </c>
      <c r="C39" s="2" t="s">
        <v>16</v>
      </c>
      <c r="D39" s="2" t="s">
        <v>33</v>
      </c>
      <c r="E39">
        <v>100371.31</v>
      </c>
      <c r="F39" t="s">
        <v>510</v>
      </c>
      <c r="G39" s="3">
        <v>44067</v>
      </c>
      <c r="H39">
        <v>0.8</v>
      </c>
      <c r="I39" s="2" t="s">
        <v>25</v>
      </c>
      <c r="J39" s="2" t="s">
        <v>52</v>
      </c>
    </row>
    <row r="40" spans="1:10" hidden="1" x14ac:dyDescent="0.35">
      <c r="A40" s="2" t="s">
        <v>102</v>
      </c>
      <c r="B40" s="2" t="s">
        <v>103</v>
      </c>
      <c r="C40" s="2" t="s">
        <v>16</v>
      </c>
      <c r="D40" s="2" t="s">
        <v>66</v>
      </c>
      <c r="E40">
        <v>69163.39</v>
      </c>
      <c r="F40" t="s">
        <v>511</v>
      </c>
      <c r="G40" s="3">
        <v>43397</v>
      </c>
      <c r="H40">
        <v>1</v>
      </c>
      <c r="I40" s="2" t="s">
        <v>12</v>
      </c>
      <c r="J40" s="2" t="s">
        <v>13</v>
      </c>
    </row>
    <row r="41" spans="1:10" x14ac:dyDescent="0.35">
      <c r="A41" s="2" t="s">
        <v>104</v>
      </c>
      <c r="B41" s="2" t="s">
        <v>105</v>
      </c>
      <c r="C41" s="2" t="s">
        <v>11</v>
      </c>
      <c r="D41" s="2" t="s">
        <v>24</v>
      </c>
      <c r="E41">
        <v>114691.03</v>
      </c>
      <c r="F41" t="s">
        <v>510</v>
      </c>
      <c r="G41" s="3">
        <v>44039</v>
      </c>
      <c r="H41">
        <v>1</v>
      </c>
      <c r="I41" s="2" t="s">
        <v>51</v>
      </c>
      <c r="J41" s="2" t="s">
        <v>31</v>
      </c>
    </row>
    <row r="42" spans="1:10" hidden="1" x14ac:dyDescent="0.35">
      <c r="A42" s="2" t="s">
        <v>106</v>
      </c>
      <c r="B42" s="2" t="s">
        <v>433</v>
      </c>
      <c r="C42" s="2" t="s">
        <v>11</v>
      </c>
      <c r="D42" s="2" t="s">
        <v>63</v>
      </c>
      <c r="E42">
        <v>86556.96</v>
      </c>
      <c r="F42" t="s">
        <v>511</v>
      </c>
      <c r="G42" s="3">
        <v>44104</v>
      </c>
      <c r="H42">
        <v>1</v>
      </c>
      <c r="I42" s="2" t="s">
        <v>12</v>
      </c>
      <c r="J42" s="2" t="s">
        <v>27</v>
      </c>
    </row>
    <row r="43" spans="1:10" hidden="1" x14ac:dyDescent="0.35">
      <c r="A43" s="2" t="s">
        <v>107</v>
      </c>
      <c r="B43" s="2" t="s">
        <v>108</v>
      </c>
      <c r="C43" s="2" t="s">
        <v>16</v>
      </c>
      <c r="D43" s="2" t="s">
        <v>21</v>
      </c>
      <c r="E43">
        <v>31172.77</v>
      </c>
      <c r="F43" t="s">
        <v>513</v>
      </c>
      <c r="G43" s="3">
        <v>43665</v>
      </c>
      <c r="H43">
        <v>1</v>
      </c>
      <c r="I43" s="2" t="s">
        <v>25</v>
      </c>
      <c r="J43" s="2" t="s">
        <v>13</v>
      </c>
    </row>
    <row r="44" spans="1:10" hidden="1" x14ac:dyDescent="0.35">
      <c r="A44" s="2" t="s">
        <v>109</v>
      </c>
      <c r="B44" s="2" t="s">
        <v>110</v>
      </c>
      <c r="C44" s="2" t="s">
        <v>11</v>
      </c>
      <c r="D44" s="2" t="s">
        <v>17</v>
      </c>
      <c r="E44">
        <v>80169.42</v>
      </c>
      <c r="F44" t="s">
        <v>511</v>
      </c>
      <c r="G44" s="3">
        <v>44053</v>
      </c>
      <c r="H44">
        <v>1</v>
      </c>
      <c r="I44" s="2" t="s">
        <v>12</v>
      </c>
      <c r="J44" s="2" t="s">
        <v>52</v>
      </c>
    </row>
    <row r="45" spans="1:10" hidden="1" x14ac:dyDescent="0.35">
      <c r="A45" s="2" t="s">
        <v>94</v>
      </c>
      <c r="B45" s="2" t="s">
        <v>95</v>
      </c>
      <c r="C45" s="2" t="s">
        <v>11</v>
      </c>
      <c r="D45" s="2" t="s">
        <v>24</v>
      </c>
      <c r="E45">
        <v>53949.26</v>
      </c>
      <c r="F45" t="s">
        <v>511</v>
      </c>
      <c r="G45" s="3">
        <v>43808</v>
      </c>
      <c r="H45">
        <v>1</v>
      </c>
      <c r="I45" s="2" t="s">
        <v>51</v>
      </c>
      <c r="J45" s="2" t="s">
        <v>48</v>
      </c>
    </row>
    <row r="46" spans="1:10" hidden="1" x14ac:dyDescent="0.35">
      <c r="A46" s="2" t="s">
        <v>111</v>
      </c>
      <c r="B46" s="2" t="s">
        <v>434</v>
      </c>
      <c r="C46" s="2" t="s">
        <v>16</v>
      </c>
      <c r="D46" s="2" t="s">
        <v>33</v>
      </c>
      <c r="E46">
        <v>58935.92</v>
      </c>
      <c r="F46" t="s">
        <v>511</v>
      </c>
      <c r="G46" s="3">
        <v>43717</v>
      </c>
      <c r="H46">
        <v>1</v>
      </c>
      <c r="I46" s="2" t="s">
        <v>51</v>
      </c>
      <c r="J46" s="2" t="s">
        <v>27</v>
      </c>
    </row>
    <row r="47" spans="1:10" hidden="1" x14ac:dyDescent="0.35">
      <c r="A47" s="2" t="s">
        <v>112</v>
      </c>
      <c r="B47" s="2" t="s">
        <v>435</v>
      </c>
      <c r="C47" s="2" t="s">
        <v>16</v>
      </c>
      <c r="D47" s="2" t="s">
        <v>33</v>
      </c>
      <c r="E47">
        <v>63555.73</v>
      </c>
      <c r="F47" t="s">
        <v>511</v>
      </c>
      <c r="G47" s="3">
        <v>44159</v>
      </c>
      <c r="H47">
        <v>1</v>
      </c>
      <c r="I47" s="2" t="s">
        <v>12</v>
      </c>
      <c r="J47" s="2" t="s">
        <v>56</v>
      </c>
    </row>
    <row r="48" spans="1:10" hidden="1" x14ac:dyDescent="0.35">
      <c r="A48" s="2" t="s">
        <v>113</v>
      </c>
      <c r="B48" s="2" t="s">
        <v>114</v>
      </c>
      <c r="C48" s="2" t="s">
        <v>11</v>
      </c>
      <c r="D48" s="2" t="s">
        <v>66</v>
      </c>
      <c r="E48">
        <v>57419.35</v>
      </c>
      <c r="F48" t="s">
        <v>511</v>
      </c>
      <c r="G48" s="3">
        <v>43305</v>
      </c>
      <c r="H48">
        <v>1</v>
      </c>
      <c r="I48" s="2" t="s">
        <v>25</v>
      </c>
      <c r="J48" s="2" t="s">
        <v>52</v>
      </c>
    </row>
    <row r="49" spans="1:10" hidden="1" x14ac:dyDescent="0.35">
      <c r="A49" s="2" t="s">
        <v>115</v>
      </c>
      <c r="B49" s="2" t="s">
        <v>116</v>
      </c>
      <c r="C49" s="2" t="s">
        <v>16</v>
      </c>
      <c r="D49" s="2" t="s">
        <v>80</v>
      </c>
      <c r="E49">
        <v>67818.14</v>
      </c>
      <c r="F49" t="s">
        <v>511</v>
      </c>
      <c r="G49" s="3">
        <v>43406</v>
      </c>
      <c r="H49">
        <v>0.6</v>
      </c>
      <c r="I49" s="2" t="s">
        <v>25</v>
      </c>
      <c r="J49" s="2" t="s">
        <v>13</v>
      </c>
    </row>
    <row r="50" spans="1:10" hidden="1" x14ac:dyDescent="0.35">
      <c r="A50" s="2" t="s">
        <v>117</v>
      </c>
      <c r="B50" s="2" t="s">
        <v>436</v>
      </c>
      <c r="C50" s="2" t="s">
        <v>16</v>
      </c>
      <c r="D50" s="2" t="s">
        <v>30</v>
      </c>
      <c r="E50">
        <v>44403.77</v>
      </c>
      <c r="F50" t="s">
        <v>513</v>
      </c>
      <c r="G50" s="3">
        <v>43416</v>
      </c>
      <c r="H50">
        <v>1</v>
      </c>
      <c r="I50" s="2" t="s">
        <v>12</v>
      </c>
      <c r="J50" s="2" t="s">
        <v>27</v>
      </c>
    </row>
    <row r="51" spans="1:10" hidden="1" x14ac:dyDescent="0.35">
      <c r="A51" s="2" t="s">
        <v>118</v>
      </c>
      <c r="B51" s="2" t="s">
        <v>119</v>
      </c>
      <c r="C51" s="2" t="s">
        <v>11</v>
      </c>
      <c r="D51" s="2" t="s">
        <v>36</v>
      </c>
      <c r="E51">
        <v>40753.54</v>
      </c>
      <c r="F51" t="s">
        <v>513</v>
      </c>
      <c r="G51" s="3">
        <v>43152</v>
      </c>
      <c r="H51">
        <v>0.6</v>
      </c>
      <c r="I51" s="2" t="s">
        <v>12</v>
      </c>
      <c r="J51" s="2" t="s">
        <v>31</v>
      </c>
    </row>
    <row r="52" spans="1:10" x14ac:dyDescent="0.35">
      <c r="A52" s="2" t="s">
        <v>120</v>
      </c>
      <c r="B52" s="2" t="s">
        <v>437</v>
      </c>
      <c r="C52" s="2" t="s">
        <v>16</v>
      </c>
      <c r="D52" s="2" t="s">
        <v>24</v>
      </c>
      <c r="E52">
        <v>102934.09</v>
      </c>
      <c r="F52" t="s">
        <v>510</v>
      </c>
      <c r="G52" s="3">
        <v>44315</v>
      </c>
      <c r="H52">
        <v>1</v>
      </c>
      <c r="I52" s="2" t="s">
        <v>12</v>
      </c>
      <c r="J52" s="2" t="s">
        <v>27</v>
      </c>
    </row>
    <row r="53" spans="1:10" hidden="1" x14ac:dyDescent="0.35">
      <c r="A53" s="2" t="s">
        <v>121</v>
      </c>
      <c r="B53" s="2" t="s">
        <v>122</v>
      </c>
      <c r="C53" s="2" t="s">
        <v>11</v>
      </c>
      <c r="D53" s="2" t="s">
        <v>69</v>
      </c>
      <c r="E53">
        <v>68860.399999999994</v>
      </c>
      <c r="F53" t="s">
        <v>511</v>
      </c>
      <c r="G53" s="3">
        <v>43508</v>
      </c>
      <c r="H53">
        <v>0.4</v>
      </c>
      <c r="I53" s="2" t="s">
        <v>12</v>
      </c>
      <c r="J53" s="2" t="s">
        <v>48</v>
      </c>
    </row>
    <row r="54" spans="1:10" hidden="1" x14ac:dyDescent="0.35">
      <c r="A54" s="2" t="s">
        <v>123</v>
      </c>
      <c r="B54" s="2" t="s">
        <v>438</v>
      </c>
      <c r="C54" s="2" t="s">
        <v>11</v>
      </c>
      <c r="D54" s="2" t="s">
        <v>24</v>
      </c>
      <c r="E54">
        <v>79567.69</v>
      </c>
      <c r="F54" t="s">
        <v>511</v>
      </c>
      <c r="G54" s="3">
        <v>43272</v>
      </c>
      <c r="H54">
        <v>1</v>
      </c>
      <c r="I54" s="2" t="s">
        <v>25</v>
      </c>
      <c r="J54" s="2" t="s">
        <v>56</v>
      </c>
    </row>
    <row r="55" spans="1:10" hidden="1" x14ac:dyDescent="0.35">
      <c r="A55" s="2" t="s">
        <v>124</v>
      </c>
      <c r="B55" s="2" t="s">
        <v>125</v>
      </c>
      <c r="C55" s="2" t="s">
        <v>16</v>
      </c>
      <c r="D55" s="2" t="s">
        <v>63</v>
      </c>
      <c r="E55">
        <v>35943.620000000003</v>
      </c>
      <c r="F55" t="s">
        <v>513</v>
      </c>
      <c r="G55" s="3">
        <v>44078</v>
      </c>
      <c r="H55">
        <v>1</v>
      </c>
      <c r="I55" s="2" t="s">
        <v>12</v>
      </c>
      <c r="J55" s="2" t="s">
        <v>48</v>
      </c>
    </row>
    <row r="56" spans="1:10" x14ac:dyDescent="0.35">
      <c r="A56" s="2" t="s">
        <v>126</v>
      </c>
      <c r="B56" s="2" t="s">
        <v>439</v>
      </c>
      <c r="C56" s="2" t="s">
        <v>16</v>
      </c>
      <c r="D56" s="2" t="s">
        <v>24</v>
      </c>
      <c r="E56">
        <v>116767.63</v>
      </c>
      <c r="F56" t="s">
        <v>510</v>
      </c>
      <c r="G56" s="3">
        <v>43949</v>
      </c>
      <c r="H56">
        <v>0.4</v>
      </c>
      <c r="I56" s="2" t="s">
        <v>51</v>
      </c>
      <c r="J56" s="2" t="s">
        <v>56</v>
      </c>
    </row>
    <row r="57" spans="1:10" hidden="1" x14ac:dyDescent="0.35">
      <c r="A57" s="2" t="s">
        <v>127</v>
      </c>
      <c r="B57" s="2" t="s">
        <v>128</v>
      </c>
      <c r="C57" s="2" t="s">
        <v>11</v>
      </c>
      <c r="D57" s="2" t="s">
        <v>39</v>
      </c>
      <c r="E57">
        <v>85455.53</v>
      </c>
      <c r="F57" t="s">
        <v>511</v>
      </c>
      <c r="G57" s="3">
        <v>43839</v>
      </c>
      <c r="H57">
        <v>1</v>
      </c>
      <c r="I57" s="2" t="s">
        <v>12</v>
      </c>
      <c r="J57" s="2" t="s">
        <v>31</v>
      </c>
    </row>
    <row r="58" spans="1:10" hidden="1" x14ac:dyDescent="0.35">
      <c r="A58" s="2" t="s">
        <v>129</v>
      </c>
      <c r="B58" s="2" t="s">
        <v>440</v>
      </c>
      <c r="C58" s="2" t="s">
        <v>16</v>
      </c>
      <c r="D58" s="2" t="s">
        <v>39</v>
      </c>
      <c r="E58">
        <v>39700.82</v>
      </c>
      <c r="F58" t="s">
        <v>513</v>
      </c>
      <c r="G58" s="3">
        <v>44203</v>
      </c>
      <c r="H58">
        <v>0.8</v>
      </c>
      <c r="I58" s="2" t="s">
        <v>12</v>
      </c>
      <c r="J58" s="2" t="s">
        <v>56</v>
      </c>
    </row>
    <row r="59" spans="1:10" hidden="1" x14ac:dyDescent="0.35">
      <c r="A59" s="2" t="s">
        <v>130</v>
      </c>
      <c r="B59" s="2" t="s">
        <v>441</v>
      </c>
      <c r="C59" s="2" t="s">
        <v>16</v>
      </c>
      <c r="D59" s="2" t="s">
        <v>80</v>
      </c>
      <c r="E59">
        <v>38438.239999999998</v>
      </c>
      <c r="F59" t="s">
        <v>513</v>
      </c>
      <c r="G59" s="3">
        <v>43962</v>
      </c>
      <c r="H59">
        <v>1</v>
      </c>
      <c r="I59" s="2" t="s">
        <v>12</v>
      </c>
      <c r="J59" s="2" t="s">
        <v>56</v>
      </c>
    </row>
    <row r="60" spans="1:10" hidden="1" x14ac:dyDescent="0.35">
      <c r="A60" s="2" t="s">
        <v>131</v>
      </c>
      <c r="B60" s="2" t="s">
        <v>132</v>
      </c>
      <c r="C60" s="2" t="s">
        <v>11</v>
      </c>
      <c r="D60" s="2" t="s">
        <v>30</v>
      </c>
      <c r="E60">
        <v>50855.53</v>
      </c>
      <c r="F60" t="s">
        <v>511</v>
      </c>
      <c r="G60" s="3">
        <v>44221</v>
      </c>
      <c r="H60">
        <v>1</v>
      </c>
      <c r="I60" s="2" t="s">
        <v>12</v>
      </c>
      <c r="J60" s="2" t="s">
        <v>31</v>
      </c>
    </row>
    <row r="61" spans="1:10" hidden="1" x14ac:dyDescent="0.35">
      <c r="A61" s="2" t="s">
        <v>133</v>
      </c>
      <c r="B61" s="2" t="s">
        <v>134</v>
      </c>
      <c r="C61" s="2" t="s">
        <v>11</v>
      </c>
      <c r="D61" s="2" t="s">
        <v>33</v>
      </c>
      <c r="E61">
        <v>0</v>
      </c>
      <c r="F61" t="s">
        <v>513</v>
      </c>
      <c r="G61" s="3">
        <v>43724</v>
      </c>
      <c r="H61">
        <v>0.2</v>
      </c>
      <c r="I61" s="2" t="s">
        <v>12</v>
      </c>
      <c r="J61" s="2" t="s">
        <v>52</v>
      </c>
    </row>
    <row r="62" spans="1:10" hidden="1" x14ac:dyDescent="0.35">
      <c r="A62" s="2" t="s">
        <v>135</v>
      </c>
      <c r="B62" s="2" t="s">
        <v>136</v>
      </c>
      <c r="C62" s="2" t="s">
        <v>11</v>
      </c>
      <c r="D62" s="2" t="s">
        <v>36</v>
      </c>
      <c r="E62">
        <v>37362.300000000003</v>
      </c>
      <c r="F62" t="s">
        <v>513</v>
      </c>
      <c r="G62" s="3">
        <v>43642</v>
      </c>
      <c r="H62">
        <v>1</v>
      </c>
      <c r="I62" s="2" t="s">
        <v>12</v>
      </c>
      <c r="J62" s="2" t="s">
        <v>52</v>
      </c>
    </row>
    <row r="63" spans="1:10" hidden="1" x14ac:dyDescent="0.35">
      <c r="A63" s="2" t="s">
        <v>137</v>
      </c>
      <c r="B63" s="2" t="s">
        <v>138</v>
      </c>
      <c r="C63" s="2" t="s">
        <v>11</v>
      </c>
      <c r="D63" s="2" t="s">
        <v>63</v>
      </c>
      <c r="E63">
        <v>72876.91</v>
      </c>
      <c r="F63" t="s">
        <v>511</v>
      </c>
      <c r="G63" s="3">
        <v>43612</v>
      </c>
      <c r="H63">
        <v>0.4</v>
      </c>
      <c r="I63" s="2" t="s">
        <v>25</v>
      </c>
      <c r="J63" s="2" t="s">
        <v>52</v>
      </c>
    </row>
    <row r="64" spans="1:10" hidden="1" x14ac:dyDescent="0.35">
      <c r="A64" s="2" t="s">
        <v>139</v>
      </c>
      <c r="B64" s="2" t="s">
        <v>140</v>
      </c>
      <c r="C64" s="2" t="s">
        <v>16</v>
      </c>
      <c r="D64" s="2" t="s">
        <v>85</v>
      </c>
      <c r="E64">
        <v>31042.51</v>
      </c>
      <c r="F64" t="s">
        <v>513</v>
      </c>
      <c r="G64" s="3">
        <v>44473</v>
      </c>
      <c r="H64">
        <v>0.3</v>
      </c>
      <c r="I64" s="2" t="s">
        <v>25</v>
      </c>
      <c r="J64" s="2" t="s">
        <v>13</v>
      </c>
    </row>
    <row r="65" spans="1:10" hidden="1" x14ac:dyDescent="0.35">
      <c r="A65" s="2" t="s">
        <v>141</v>
      </c>
      <c r="B65" s="2" t="s">
        <v>442</v>
      </c>
      <c r="C65" s="2" t="s">
        <v>16</v>
      </c>
      <c r="D65" s="2" t="s">
        <v>85</v>
      </c>
      <c r="E65">
        <v>63705.4</v>
      </c>
      <c r="F65" t="s">
        <v>511</v>
      </c>
      <c r="G65" s="3">
        <v>43682</v>
      </c>
      <c r="H65">
        <v>1</v>
      </c>
      <c r="I65" s="2" t="s">
        <v>12</v>
      </c>
      <c r="J65" s="2" t="s">
        <v>27</v>
      </c>
    </row>
    <row r="66" spans="1:10" hidden="1" x14ac:dyDescent="0.35">
      <c r="A66" s="2" t="s">
        <v>142</v>
      </c>
      <c r="B66" s="2" t="s">
        <v>143</v>
      </c>
      <c r="C66" s="2" t="s">
        <v>16</v>
      </c>
      <c r="D66" s="2" t="s">
        <v>39</v>
      </c>
      <c r="E66">
        <v>59434.18</v>
      </c>
      <c r="F66" t="s">
        <v>511</v>
      </c>
      <c r="G66" s="3">
        <v>43931</v>
      </c>
      <c r="H66">
        <v>1</v>
      </c>
      <c r="I66" s="2" t="s">
        <v>51</v>
      </c>
      <c r="J66" s="2" t="s">
        <v>18</v>
      </c>
    </row>
    <row r="67" spans="1:10" hidden="1" x14ac:dyDescent="0.35">
      <c r="A67" s="2" t="s">
        <v>144</v>
      </c>
      <c r="B67" s="2" t="s">
        <v>443</v>
      </c>
      <c r="C67" s="2" t="s">
        <v>16</v>
      </c>
      <c r="D67" s="2" t="s">
        <v>69</v>
      </c>
      <c r="E67">
        <v>84762.76</v>
      </c>
      <c r="F67" t="s">
        <v>511</v>
      </c>
      <c r="G67" s="3">
        <v>43332</v>
      </c>
      <c r="H67">
        <v>1</v>
      </c>
      <c r="I67" s="2" t="s">
        <v>12</v>
      </c>
      <c r="J67" s="2" t="s">
        <v>27</v>
      </c>
    </row>
    <row r="68" spans="1:10" hidden="1" x14ac:dyDescent="0.35">
      <c r="A68" s="2" t="s">
        <v>145</v>
      </c>
      <c r="B68" s="2" t="s">
        <v>146</v>
      </c>
      <c r="C68" s="2" t="s">
        <v>16</v>
      </c>
      <c r="D68" s="2" t="s">
        <v>21</v>
      </c>
      <c r="E68">
        <v>69057.320000000007</v>
      </c>
      <c r="F68" t="s">
        <v>511</v>
      </c>
      <c r="G68" s="3">
        <v>43390</v>
      </c>
      <c r="H68">
        <v>1</v>
      </c>
      <c r="I68" s="2" t="s">
        <v>12</v>
      </c>
      <c r="J68" s="2" t="s">
        <v>31</v>
      </c>
    </row>
    <row r="69" spans="1:10" hidden="1" x14ac:dyDescent="0.35">
      <c r="A69" s="2" t="s">
        <v>147</v>
      </c>
      <c r="B69" s="2" t="s">
        <v>148</v>
      </c>
      <c r="C69" s="2" t="s">
        <v>512</v>
      </c>
      <c r="D69" s="2" t="s">
        <v>63</v>
      </c>
      <c r="E69">
        <v>99448.78</v>
      </c>
      <c r="F69" t="s">
        <v>511</v>
      </c>
      <c r="G69" s="3">
        <v>43473</v>
      </c>
      <c r="H69">
        <v>1</v>
      </c>
      <c r="I69" s="2" t="s">
        <v>25</v>
      </c>
      <c r="J69" s="2" t="s">
        <v>31</v>
      </c>
    </row>
    <row r="70" spans="1:10" hidden="1" x14ac:dyDescent="0.35">
      <c r="A70" s="2" t="s">
        <v>149</v>
      </c>
      <c r="B70" s="2" t="s">
        <v>150</v>
      </c>
      <c r="C70" s="2" t="s">
        <v>16</v>
      </c>
      <c r="D70" s="2" t="s">
        <v>80</v>
      </c>
      <c r="E70">
        <v>66865.490000000005</v>
      </c>
      <c r="F70" t="s">
        <v>511</v>
      </c>
      <c r="G70" s="3">
        <v>43514</v>
      </c>
      <c r="H70">
        <v>1</v>
      </c>
      <c r="I70" s="2" t="s">
        <v>12</v>
      </c>
      <c r="J70" s="2" t="s">
        <v>18</v>
      </c>
    </row>
    <row r="71" spans="1:10" x14ac:dyDescent="0.35">
      <c r="A71" s="2" t="s">
        <v>151</v>
      </c>
      <c r="B71" s="2" t="s">
        <v>152</v>
      </c>
      <c r="C71" s="2" t="s">
        <v>11</v>
      </c>
      <c r="D71" s="2" t="s">
        <v>85</v>
      </c>
      <c r="E71">
        <v>113747.56</v>
      </c>
      <c r="F71" t="s">
        <v>510</v>
      </c>
      <c r="G71" s="3">
        <v>44270</v>
      </c>
      <c r="H71">
        <v>0.7</v>
      </c>
      <c r="I71" s="2" t="s">
        <v>51</v>
      </c>
      <c r="J71" s="2" t="s">
        <v>48</v>
      </c>
    </row>
    <row r="72" spans="1:10" hidden="1" x14ac:dyDescent="0.35">
      <c r="A72" s="2" t="s">
        <v>153</v>
      </c>
      <c r="B72" s="2" t="s">
        <v>154</v>
      </c>
      <c r="C72" s="2" t="s">
        <v>11</v>
      </c>
      <c r="D72" s="2" t="s">
        <v>17</v>
      </c>
      <c r="E72">
        <v>85918.61</v>
      </c>
      <c r="F72" t="s">
        <v>511</v>
      </c>
      <c r="G72" s="3">
        <v>43136</v>
      </c>
      <c r="H72">
        <v>1</v>
      </c>
      <c r="I72" s="2" t="s">
        <v>12</v>
      </c>
      <c r="J72" s="2" t="s">
        <v>48</v>
      </c>
    </row>
    <row r="73" spans="1:10" hidden="1" x14ac:dyDescent="0.35">
      <c r="A73" s="2" t="s">
        <v>155</v>
      </c>
      <c r="B73" s="2" t="s">
        <v>444</v>
      </c>
      <c r="C73" s="2" t="s">
        <v>16</v>
      </c>
      <c r="D73" s="2" t="s">
        <v>30</v>
      </c>
      <c r="E73">
        <v>51165.37</v>
      </c>
      <c r="F73" t="s">
        <v>511</v>
      </c>
      <c r="G73" s="3">
        <v>44237</v>
      </c>
      <c r="H73">
        <v>1</v>
      </c>
      <c r="I73" s="2" t="s">
        <v>25</v>
      </c>
      <c r="J73" s="2" t="s">
        <v>27</v>
      </c>
    </row>
    <row r="74" spans="1:10" hidden="1" x14ac:dyDescent="0.35">
      <c r="A74" s="2" t="s">
        <v>158</v>
      </c>
      <c r="B74" s="2" t="s">
        <v>445</v>
      </c>
      <c r="C74" s="2" t="s">
        <v>512</v>
      </c>
      <c r="D74" s="2" t="s">
        <v>63</v>
      </c>
      <c r="E74">
        <v>67957.899999999994</v>
      </c>
      <c r="F74" t="s">
        <v>511</v>
      </c>
      <c r="G74" s="3">
        <v>43430</v>
      </c>
      <c r="H74">
        <v>1</v>
      </c>
      <c r="I74" s="2" t="s">
        <v>12</v>
      </c>
      <c r="J74" s="2" t="s">
        <v>56</v>
      </c>
    </row>
    <row r="75" spans="1:10" x14ac:dyDescent="0.35">
      <c r="A75" s="2" t="s">
        <v>159</v>
      </c>
      <c r="B75" s="2" t="s">
        <v>160</v>
      </c>
      <c r="C75" s="2" t="s">
        <v>11</v>
      </c>
      <c r="D75" s="2" t="s">
        <v>30</v>
      </c>
      <c r="E75">
        <v>114465.93</v>
      </c>
      <c r="F75" t="s">
        <v>510</v>
      </c>
      <c r="G75" s="3">
        <v>43291</v>
      </c>
      <c r="H75">
        <v>1</v>
      </c>
      <c r="I75" s="2" t="s">
        <v>51</v>
      </c>
      <c r="J75" s="2" t="s">
        <v>31</v>
      </c>
    </row>
    <row r="76" spans="1:10" hidden="1" x14ac:dyDescent="0.35">
      <c r="A76" s="2" t="s">
        <v>161</v>
      </c>
      <c r="B76" s="2" t="s">
        <v>162</v>
      </c>
      <c r="C76" s="2" t="s">
        <v>11</v>
      </c>
      <c r="D76" s="2" t="s">
        <v>36</v>
      </c>
      <c r="E76">
        <v>65699.02</v>
      </c>
      <c r="F76" t="s">
        <v>511</v>
      </c>
      <c r="G76" s="3">
        <v>43951</v>
      </c>
      <c r="H76">
        <v>1</v>
      </c>
      <c r="I76" s="2" t="s">
        <v>12</v>
      </c>
      <c r="J76" s="2" t="s">
        <v>48</v>
      </c>
    </row>
    <row r="77" spans="1:10" hidden="1" x14ac:dyDescent="0.35">
      <c r="A77" s="2" t="s">
        <v>163</v>
      </c>
      <c r="B77" s="2" t="s">
        <v>164</v>
      </c>
      <c r="C77" s="2" t="s">
        <v>11</v>
      </c>
      <c r="D77" s="2" t="s">
        <v>69</v>
      </c>
      <c r="E77">
        <v>83191.95</v>
      </c>
      <c r="F77" t="s">
        <v>511</v>
      </c>
      <c r="G77" s="3">
        <v>43700</v>
      </c>
      <c r="H77">
        <v>0.6</v>
      </c>
      <c r="I77" s="2" t="s">
        <v>51</v>
      </c>
      <c r="J77" s="2" t="s">
        <v>13</v>
      </c>
    </row>
    <row r="78" spans="1:10" x14ac:dyDescent="0.35">
      <c r="A78" s="2" t="s">
        <v>165</v>
      </c>
      <c r="B78" s="2" t="s">
        <v>446</v>
      </c>
      <c r="C78" s="2" t="s">
        <v>11</v>
      </c>
      <c r="D78" s="2" t="s">
        <v>80</v>
      </c>
      <c r="E78">
        <v>106775.14</v>
      </c>
      <c r="F78" t="s">
        <v>510</v>
      </c>
      <c r="G78" s="3">
        <v>43563</v>
      </c>
      <c r="H78">
        <v>1</v>
      </c>
      <c r="I78" s="2" t="s">
        <v>25</v>
      </c>
      <c r="J78" s="2" t="s">
        <v>27</v>
      </c>
    </row>
    <row r="79" spans="1:10" hidden="1" x14ac:dyDescent="0.35">
      <c r="A79" s="2" t="s">
        <v>166</v>
      </c>
      <c r="B79" s="2" t="s">
        <v>167</v>
      </c>
      <c r="C79" s="2" t="s">
        <v>11</v>
      </c>
      <c r="D79" s="2" t="s">
        <v>63</v>
      </c>
      <c r="E79">
        <v>83396.5</v>
      </c>
      <c r="F79" t="s">
        <v>511</v>
      </c>
      <c r="G79" s="3">
        <v>44285</v>
      </c>
      <c r="H79">
        <v>1</v>
      </c>
      <c r="I79" s="2" t="s">
        <v>51</v>
      </c>
      <c r="J79" s="2" t="s">
        <v>52</v>
      </c>
    </row>
    <row r="80" spans="1:10" hidden="1" x14ac:dyDescent="0.35">
      <c r="A80" s="2" t="s">
        <v>168</v>
      </c>
      <c r="B80" s="2" t="s">
        <v>447</v>
      </c>
      <c r="C80" s="2" t="s">
        <v>11</v>
      </c>
      <c r="D80" s="2" t="s">
        <v>85</v>
      </c>
      <c r="E80">
        <v>28481.16</v>
      </c>
      <c r="F80" t="s">
        <v>513</v>
      </c>
      <c r="G80" s="3">
        <v>44228</v>
      </c>
      <c r="H80">
        <v>1</v>
      </c>
      <c r="I80" s="2" t="s">
        <v>51</v>
      </c>
      <c r="J80" s="2" t="s">
        <v>56</v>
      </c>
    </row>
    <row r="81" spans="1:10" hidden="1" x14ac:dyDescent="0.35">
      <c r="A81" s="2" t="s">
        <v>169</v>
      </c>
      <c r="B81" s="2" t="s">
        <v>448</v>
      </c>
      <c r="C81" s="2" t="s">
        <v>11</v>
      </c>
      <c r="D81" s="2" t="s">
        <v>69</v>
      </c>
      <c r="E81">
        <v>32192.15</v>
      </c>
      <c r="F81" t="s">
        <v>513</v>
      </c>
      <c r="G81" s="3">
        <v>44473</v>
      </c>
      <c r="H81">
        <v>1</v>
      </c>
      <c r="I81" s="2" t="s">
        <v>12</v>
      </c>
      <c r="J81" s="2" t="s">
        <v>27</v>
      </c>
    </row>
    <row r="82" spans="1:10" x14ac:dyDescent="0.35">
      <c r="A82" s="2" t="s">
        <v>170</v>
      </c>
      <c r="B82" s="2" t="s">
        <v>171</v>
      </c>
      <c r="C82" s="2" t="s">
        <v>11</v>
      </c>
      <c r="D82" s="2" t="s">
        <v>30</v>
      </c>
      <c r="E82">
        <v>112645.99</v>
      </c>
      <c r="F82" t="s">
        <v>510</v>
      </c>
      <c r="G82" s="3">
        <v>43759</v>
      </c>
      <c r="H82">
        <v>0.6</v>
      </c>
      <c r="I82" s="2" t="s">
        <v>12</v>
      </c>
      <c r="J82" s="2" t="s">
        <v>18</v>
      </c>
    </row>
    <row r="83" spans="1:10" x14ac:dyDescent="0.35">
      <c r="A83" s="2" t="s">
        <v>172</v>
      </c>
      <c r="B83" s="2" t="s">
        <v>449</v>
      </c>
      <c r="C83" s="2" t="s">
        <v>512</v>
      </c>
      <c r="D83" s="2" t="s">
        <v>66</v>
      </c>
      <c r="E83">
        <v>107107.6</v>
      </c>
      <c r="F83" t="s">
        <v>510</v>
      </c>
      <c r="G83" s="3">
        <v>43325</v>
      </c>
      <c r="H83">
        <v>0.9</v>
      </c>
      <c r="I83" s="2" t="s">
        <v>12</v>
      </c>
      <c r="J83" s="2" t="s">
        <v>56</v>
      </c>
    </row>
    <row r="84" spans="1:10" hidden="1" x14ac:dyDescent="0.35">
      <c r="A84" s="2" t="s">
        <v>173</v>
      </c>
      <c r="B84" s="2" t="s">
        <v>174</v>
      </c>
      <c r="C84" s="2" t="s">
        <v>16</v>
      </c>
      <c r="D84" s="2" t="s">
        <v>17</v>
      </c>
      <c r="E84">
        <v>80695.740000000005</v>
      </c>
      <c r="F84" t="s">
        <v>511</v>
      </c>
      <c r="G84" s="3">
        <v>43787</v>
      </c>
      <c r="H84">
        <v>0.8</v>
      </c>
      <c r="I84" s="2" t="s">
        <v>12</v>
      </c>
      <c r="J84" s="2" t="s">
        <v>48</v>
      </c>
    </row>
    <row r="85" spans="1:10" hidden="1" x14ac:dyDescent="0.35">
      <c r="A85" s="2" t="s">
        <v>175</v>
      </c>
      <c r="B85" s="2" t="s">
        <v>176</v>
      </c>
      <c r="C85" s="2" t="s">
        <v>16</v>
      </c>
      <c r="D85" s="2" t="s">
        <v>80</v>
      </c>
      <c r="E85">
        <v>75475.929999999993</v>
      </c>
      <c r="F85" t="s">
        <v>511</v>
      </c>
      <c r="G85" s="3">
        <v>43794</v>
      </c>
      <c r="H85">
        <v>1</v>
      </c>
      <c r="I85" s="2" t="s">
        <v>12</v>
      </c>
      <c r="J85" s="2" t="s">
        <v>13</v>
      </c>
    </row>
    <row r="86" spans="1:10" hidden="1" x14ac:dyDescent="0.35">
      <c r="A86" s="2" t="s">
        <v>177</v>
      </c>
      <c r="B86" s="2" t="s">
        <v>178</v>
      </c>
      <c r="C86" s="2" t="s">
        <v>16</v>
      </c>
      <c r="D86" s="2" t="s">
        <v>17</v>
      </c>
      <c r="E86">
        <v>86558.58</v>
      </c>
      <c r="F86" t="s">
        <v>511</v>
      </c>
      <c r="G86" s="3">
        <v>43887</v>
      </c>
      <c r="H86">
        <v>1</v>
      </c>
      <c r="I86" s="2" t="s">
        <v>25</v>
      </c>
      <c r="J86" s="2" t="s">
        <v>13</v>
      </c>
    </row>
    <row r="87" spans="1:10" hidden="1" x14ac:dyDescent="0.35">
      <c r="A87" s="2" t="s">
        <v>179</v>
      </c>
      <c r="B87" s="2" t="s">
        <v>180</v>
      </c>
      <c r="C87" s="2" t="s">
        <v>16</v>
      </c>
      <c r="D87" s="2" t="s">
        <v>39</v>
      </c>
      <c r="E87">
        <v>84309.95</v>
      </c>
      <c r="F87" t="s">
        <v>511</v>
      </c>
      <c r="G87" s="3">
        <v>44501</v>
      </c>
      <c r="H87">
        <v>1</v>
      </c>
      <c r="I87" s="2" t="s">
        <v>12</v>
      </c>
      <c r="J87" s="2" t="s">
        <v>13</v>
      </c>
    </row>
    <row r="88" spans="1:10" hidden="1" x14ac:dyDescent="0.35">
      <c r="A88" s="2" t="s">
        <v>181</v>
      </c>
      <c r="B88" s="2" t="s">
        <v>182</v>
      </c>
      <c r="C88" s="2" t="s">
        <v>11</v>
      </c>
      <c r="D88" s="2" t="s">
        <v>66</v>
      </c>
      <c r="E88">
        <v>91645.04</v>
      </c>
      <c r="F88" t="s">
        <v>511</v>
      </c>
      <c r="G88" s="3">
        <v>44223</v>
      </c>
      <c r="H88">
        <v>1</v>
      </c>
      <c r="I88" s="2" t="s">
        <v>12</v>
      </c>
      <c r="J88" s="2" t="s">
        <v>52</v>
      </c>
    </row>
    <row r="89" spans="1:10" x14ac:dyDescent="0.35">
      <c r="A89" s="2" t="s">
        <v>183</v>
      </c>
      <c r="B89" s="2" t="s">
        <v>184</v>
      </c>
      <c r="C89" s="2" t="s">
        <v>16</v>
      </c>
      <c r="D89" s="2" t="s">
        <v>24</v>
      </c>
      <c r="E89">
        <v>101187.36</v>
      </c>
      <c r="F89" t="s">
        <v>510</v>
      </c>
      <c r="G89" s="3">
        <v>43258</v>
      </c>
      <c r="H89">
        <v>1</v>
      </c>
      <c r="I89" s="2" t="s">
        <v>25</v>
      </c>
      <c r="J89" s="2" t="s">
        <v>48</v>
      </c>
    </row>
    <row r="90" spans="1:10" hidden="1" x14ac:dyDescent="0.35">
      <c r="A90" s="2" t="s">
        <v>109</v>
      </c>
      <c r="B90" s="2" t="s">
        <v>110</v>
      </c>
      <c r="C90" s="2" t="s">
        <v>11</v>
      </c>
      <c r="D90" s="2" t="s">
        <v>17</v>
      </c>
      <c r="E90">
        <v>80169.42</v>
      </c>
      <c r="F90" t="s">
        <v>511</v>
      </c>
      <c r="G90" s="3">
        <v>44053</v>
      </c>
      <c r="H90">
        <v>1</v>
      </c>
      <c r="I90" s="2" t="s">
        <v>12</v>
      </c>
      <c r="J90" s="2" t="s">
        <v>52</v>
      </c>
    </row>
    <row r="91" spans="1:10" x14ac:dyDescent="0.35">
      <c r="A91" s="2" t="s">
        <v>185</v>
      </c>
      <c r="B91" s="2" t="s">
        <v>186</v>
      </c>
      <c r="C91" s="2" t="s">
        <v>16</v>
      </c>
      <c r="D91" s="2" t="s">
        <v>33</v>
      </c>
      <c r="E91">
        <v>104038.9</v>
      </c>
      <c r="F91" t="s">
        <v>510</v>
      </c>
      <c r="G91" s="3">
        <v>43815</v>
      </c>
      <c r="H91">
        <v>1</v>
      </c>
      <c r="I91" s="2" t="s">
        <v>25</v>
      </c>
      <c r="J91" s="2" t="s">
        <v>13</v>
      </c>
    </row>
    <row r="92" spans="1:10" hidden="1" x14ac:dyDescent="0.35">
      <c r="A92" s="2" t="s">
        <v>187</v>
      </c>
      <c r="B92" s="2" t="s">
        <v>188</v>
      </c>
      <c r="C92" s="2" t="s">
        <v>16</v>
      </c>
      <c r="D92" s="2" t="s">
        <v>39</v>
      </c>
      <c r="E92">
        <v>99683.67</v>
      </c>
      <c r="F92" t="s">
        <v>511</v>
      </c>
      <c r="G92" s="3">
        <v>43500</v>
      </c>
      <c r="H92">
        <v>1</v>
      </c>
      <c r="I92" s="2" t="s">
        <v>25</v>
      </c>
      <c r="J92" s="2" t="s">
        <v>18</v>
      </c>
    </row>
    <row r="93" spans="1:10" hidden="1" x14ac:dyDescent="0.35">
      <c r="A93" s="2" t="s">
        <v>189</v>
      </c>
      <c r="B93" s="2" t="s">
        <v>190</v>
      </c>
      <c r="C93" s="2" t="s">
        <v>11</v>
      </c>
      <c r="D93" s="2" t="s">
        <v>30</v>
      </c>
      <c r="E93">
        <v>47362.62</v>
      </c>
      <c r="F93" t="s">
        <v>513</v>
      </c>
      <c r="G93" s="3">
        <v>43973</v>
      </c>
      <c r="H93">
        <v>1</v>
      </c>
      <c r="I93" s="2" t="s">
        <v>51</v>
      </c>
      <c r="J93" s="2" t="s">
        <v>13</v>
      </c>
    </row>
    <row r="94" spans="1:10" hidden="1" x14ac:dyDescent="0.35">
      <c r="A94" s="2" t="s">
        <v>191</v>
      </c>
      <c r="B94" s="2" t="s">
        <v>450</v>
      </c>
      <c r="C94" s="2" t="s">
        <v>16</v>
      </c>
      <c r="D94" s="2" t="s">
        <v>17</v>
      </c>
      <c r="E94">
        <v>70649.460000000006</v>
      </c>
      <c r="F94" t="s">
        <v>511</v>
      </c>
      <c r="G94" s="3">
        <v>43843</v>
      </c>
      <c r="H94">
        <v>1</v>
      </c>
      <c r="I94" s="2" t="s">
        <v>12</v>
      </c>
      <c r="J94" s="2" t="s">
        <v>27</v>
      </c>
    </row>
    <row r="95" spans="1:10" hidden="1" x14ac:dyDescent="0.35">
      <c r="A95" s="2" t="s">
        <v>192</v>
      </c>
      <c r="B95" s="2" t="s">
        <v>451</v>
      </c>
      <c r="C95" s="2" t="s">
        <v>16</v>
      </c>
      <c r="D95" s="2" t="s">
        <v>85</v>
      </c>
      <c r="E95">
        <v>75733.740000000005</v>
      </c>
      <c r="F95" t="s">
        <v>511</v>
      </c>
      <c r="G95" s="3">
        <v>44382</v>
      </c>
      <c r="H95">
        <v>1</v>
      </c>
      <c r="I95" s="2" t="s">
        <v>12</v>
      </c>
      <c r="J95" s="2" t="s">
        <v>27</v>
      </c>
    </row>
    <row r="96" spans="1:10" hidden="1" x14ac:dyDescent="0.35">
      <c r="A96" s="2" t="s">
        <v>193</v>
      </c>
      <c r="B96" s="2" t="s">
        <v>194</v>
      </c>
      <c r="C96" s="2" t="s">
        <v>16</v>
      </c>
      <c r="D96" s="2" t="s">
        <v>66</v>
      </c>
      <c r="E96">
        <v>71823.56</v>
      </c>
      <c r="F96" t="s">
        <v>511</v>
      </c>
      <c r="G96" s="3">
        <v>43374</v>
      </c>
      <c r="H96">
        <v>0.3</v>
      </c>
      <c r="I96" s="2" t="s">
        <v>51</v>
      </c>
      <c r="J96" s="2" t="s">
        <v>13</v>
      </c>
    </row>
    <row r="97" spans="1:10" hidden="1" x14ac:dyDescent="0.35">
      <c r="A97" s="2" t="s">
        <v>195</v>
      </c>
      <c r="B97" s="2" t="s">
        <v>196</v>
      </c>
      <c r="C97" s="2" t="s">
        <v>16</v>
      </c>
      <c r="D97" s="2" t="s">
        <v>69</v>
      </c>
      <c r="E97">
        <v>41934.71</v>
      </c>
      <c r="F97" t="s">
        <v>513</v>
      </c>
      <c r="G97" s="3">
        <v>43943</v>
      </c>
      <c r="H97">
        <v>1</v>
      </c>
      <c r="I97" s="2" t="s">
        <v>12</v>
      </c>
      <c r="J97" s="2" t="s">
        <v>13</v>
      </c>
    </row>
    <row r="98" spans="1:10" hidden="1" x14ac:dyDescent="0.35">
      <c r="A98" s="2" t="s">
        <v>197</v>
      </c>
      <c r="B98" s="2" t="s">
        <v>452</v>
      </c>
      <c r="C98" s="2" t="s">
        <v>11</v>
      </c>
      <c r="D98" s="2" t="s">
        <v>85</v>
      </c>
      <c r="E98">
        <v>66572.58</v>
      </c>
      <c r="F98" t="s">
        <v>511</v>
      </c>
      <c r="G98" s="3">
        <v>44193</v>
      </c>
      <c r="H98">
        <v>1</v>
      </c>
      <c r="I98" s="2" t="s">
        <v>12</v>
      </c>
      <c r="J98" s="2" t="s">
        <v>56</v>
      </c>
    </row>
    <row r="99" spans="1:10" hidden="1" x14ac:dyDescent="0.35">
      <c r="A99" s="2" t="s">
        <v>198</v>
      </c>
      <c r="B99" s="2" t="s">
        <v>453</v>
      </c>
      <c r="C99" s="2" t="s">
        <v>11</v>
      </c>
      <c r="D99" s="2" t="s">
        <v>36</v>
      </c>
      <c r="E99">
        <v>76932.600000000006</v>
      </c>
      <c r="F99" t="s">
        <v>511</v>
      </c>
      <c r="G99" s="3">
        <v>43493</v>
      </c>
      <c r="H99">
        <v>1</v>
      </c>
      <c r="I99" s="2" t="s">
        <v>12</v>
      </c>
      <c r="J99" s="2" t="s">
        <v>27</v>
      </c>
    </row>
    <row r="100" spans="1:10" hidden="1" x14ac:dyDescent="0.35">
      <c r="A100" s="2" t="s">
        <v>199</v>
      </c>
      <c r="B100" s="2" t="s">
        <v>200</v>
      </c>
      <c r="C100" s="2" t="s">
        <v>11</v>
      </c>
      <c r="D100" s="2" t="s">
        <v>33</v>
      </c>
      <c r="E100">
        <v>59258.19</v>
      </c>
      <c r="F100" t="s">
        <v>511</v>
      </c>
      <c r="G100" s="3">
        <v>43452</v>
      </c>
      <c r="H100">
        <v>0.8</v>
      </c>
      <c r="I100" s="2" t="s">
        <v>12</v>
      </c>
      <c r="J100" s="2" t="s">
        <v>18</v>
      </c>
    </row>
    <row r="101" spans="1:10" x14ac:dyDescent="0.35">
      <c r="A101" s="2" t="s">
        <v>201</v>
      </c>
      <c r="B101" s="2" t="s">
        <v>202</v>
      </c>
      <c r="C101" s="2" t="s">
        <v>11</v>
      </c>
      <c r="D101" s="2" t="s">
        <v>24</v>
      </c>
      <c r="E101">
        <v>112778.28</v>
      </c>
      <c r="F101" t="s">
        <v>510</v>
      </c>
      <c r="G101" s="3">
        <v>43250</v>
      </c>
      <c r="H101">
        <v>1</v>
      </c>
      <c r="I101" s="2" t="s">
        <v>25</v>
      </c>
      <c r="J101" s="2" t="s">
        <v>13</v>
      </c>
    </row>
    <row r="102" spans="1:10" hidden="1" x14ac:dyDescent="0.35">
      <c r="A102" s="2" t="s">
        <v>203</v>
      </c>
      <c r="B102" s="2" t="s">
        <v>204</v>
      </c>
      <c r="C102" s="2" t="s">
        <v>16</v>
      </c>
      <c r="D102" s="2" t="s">
        <v>66</v>
      </c>
      <c r="E102">
        <v>44845.33</v>
      </c>
      <c r="F102" t="s">
        <v>513</v>
      </c>
      <c r="G102" s="3">
        <v>43277</v>
      </c>
      <c r="H102">
        <v>1</v>
      </c>
      <c r="I102" s="2" t="s">
        <v>12</v>
      </c>
      <c r="J102" s="2" t="s">
        <v>18</v>
      </c>
    </row>
    <row r="103" spans="1:10" x14ac:dyDescent="0.35">
      <c r="A103" s="2" t="s">
        <v>205</v>
      </c>
      <c r="B103" s="2" t="s">
        <v>454</v>
      </c>
      <c r="C103" s="2" t="s">
        <v>11</v>
      </c>
      <c r="D103" s="2" t="s">
        <v>80</v>
      </c>
      <c r="E103">
        <v>115191.38</v>
      </c>
      <c r="F103" t="s">
        <v>510</v>
      </c>
      <c r="G103" s="3">
        <v>44004</v>
      </c>
      <c r="H103">
        <v>1</v>
      </c>
      <c r="I103" s="2" t="s">
        <v>12</v>
      </c>
      <c r="J103" s="2" t="s">
        <v>27</v>
      </c>
    </row>
    <row r="104" spans="1:10" x14ac:dyDescent="0.35">
      <c r="A104" s="2" t="s">
        <v>206</v>
      </c>
      <c r="B104" s="2" t="s">
        <v>207</v>
      </c>
      <c r="C104" s="2" t="s">
        <v>16</v>
      </c>
      <c r="D104" s="2" t="s">
        <v>85</v>
      </c>
      <c r="E104">
        <v>111049.84</v>
      </c>
      <c r="F104" t="s">
        <v>510</v>
      </c>
      <c r="G104" s="3">
        <v>44393</v>
      </c>
      <c r="H104">
        <v>1</v>
      </c>
      <c r="I104" s="2" t="s">
        <v>12</v>
      </c>
      <c r="J104" s="2" t="s">
        <v>31</v>
      </c>
    </row>
    <row r="105" spans="1:10" hidden="1" x14ac:dyDescent="0.35">
      <c r="A105" s="2" t="s">
        <v>208</v>
      </c>
      <c r="B105" s="2" t="s">
        <v>209</v>
      </c>
      <c r="C105" s="2" t="s">
        <v>16</v>
      </c>
      <c r="D105" s="2" t="s">
        <v>33</v>
      </c>
      <c r="E105">
        <v>75974.990000000005</v>
      </c>
      <c r="F105" t="s">
        <v>511</v>
      </c>
      <c r="G105" s="3">
        <v>44172</v>
      </c>
      <c r="H105">
        <v>1</v>
      </c>
      <c r="I105" s="2" t="s">
        <v>12</v>
      </c>
      <c r="J105" s="2" t="s">
        <v>13</v>
      </c>
    </row>
    <row r="106" spans="1:10" hidden="1" x14ac:dyDescent="0.35">
      <c r="A106" s="2" t="s">
        <v>210</v>
      </c>
      <c r="B106" s="2" t="s">
        <v>211</v>
      </c>
      <c r="C106" s="2" t="s">
        <v>16</v>
      </c>
      <c r="D106" s="2" t="s">
        <v>21</v>
      </c>
      <c r="E106">
        <v>42161.77</v>
      </c>
      <c r="F106" t="s">
        <v>513</v>
      </c>
      <c r="G106" s="3">
        <v>43494</v>
      </c>
      <c r="H106">
        <v>1</v>
      </c>
      <c r="I106" s="2" t="s">
        <v>12</v>
      </c>
      <c r="J106" s="2" t="s">
        <v>52</v>
      </c>
    </row>
    <row r="107" spans="1:10" hidden="1" x14ac:dyDescent="0.35">
      <c r="A107" s="2" t="s">
        <v>212</v>
      </c>
      <c r="B107" s="2" t="s">
        <v>455</v>
      </c>
      <c r="C107" s="2" t="s">
        <v>11</v>
      </c>
      <c r="D107" s="2" t="s">
        <v>17</v>
      </c>
      <c r="E107">
        <v>71371.37</v>
      </c>
      <c r="F107" t="s">
        <v>511</v>
      </c>
      <c r="G107" s="3">
        <v>43392</v>
      </c>
      <c r="H107">
        <v>1</v>
      </c>
      <c r="I107" s="2" t="s">
        <v>12</v>
      </c>
      <c r="J107" s="2" t="s">
        <v>27</v>
      </c>
    </row>
    <row r="108" spans="1:10" hidden="1" x14ac:dyDescent="0.35">
      <c r="A108" s="2" t="s">
        <v>213</v>
      </c>
      <c r="B108" s="2" t="s">
        <v>214</v>
      </c>
      <c r="C108" s="2" t="s">
        <v>11</v>
      </c>
      <c r="D108" s="2" t="s">
        <v>66</v>
      </c>
      <c r="E108">
        <v>49915.14</v>
      </c>
      <c r="F108" t="s">
        <v>513</v>
      </c>
      <c r="G108" s="3">
        <v>43550</v>
      </c>
      <c r="H108">
        <v>1</v>
      </c>
      <c r="I108" s="2" t="s">
        <v>12</v>
      </c>
      <c r="J108" s="2" t="s">
        <v>13</v>
      </c>
    </row>
    <row r="109" spans="1:10" hidden="1" x14ac:dyDescent="0.35">
      <c r="A109" s="2" t="s">
        <v>156</v>
      </c>
      <c r="B109" s="2" t="s">
        <v>157</v>
      </c>
      <c r="C109" s="2" t="s">
        <v>16</v>
      </c>
      <c r="D109" s="2" t="s">
        <v>85</v>
      </c>
      <c r="E109">
        <v>0</v>
      </c>
      <c r="F109" t="s">
        <v>513</v>
      </c>
      <c r="G109" s="3">
        <v>44011</v>
      </c>
      <c r="H109">
        <v>1</v>
      </c>
      <c r="I109" s="2" t="s">
        <v>12</v>
      </c>
      <c r="J109" s="2" t="s">
        <v>31</v>
      </c>
    </row>
    <row r="110" spans="1:10" hidden="1" x14ac:dyDescent="0.35">
      <c r="A110" s="2" t="s">
        <v>215</v>
      </c>
      <c r="B110" s="2" t="s">
        <v>456</v>
      </c>
      <c r="C110" s="2" t="s">
        <v>11</v>
      </c>
      <c r="D110" s="2" t="s">
        <v>33</v>
      </c>
      <c r="E110">
        <v>37062.1</v>
      </c>
      <c r="F110" t="s">
        <v>513</v>
      </c>
      <c r="G110" s="3">
        <v>44357</v>
      </c>
      <c r="H110">
        <v>1</v>
      </c>
      <c r="I110" s="2" t="s">
        <v>51</v>
      </c>
      <c r="J110" s="2" t="s">
        <v>56</v>
      </c>
    </row>
    <row r="111" spans="1:10" hidden="1" x14ac:dyDescent="0.35">
      <c r="A111" s="2" t="s">
        <v>216</v>
      </c>
      <c r="B111" s="2" t="s">
        <v>217</v>
      </c>
      <c r="C111" s="2" t="s">
        <v>16</v>
      </c>
      <c r="D111" s="2" t="s">
        <v>39</v>
      </c>
      <c r="E111">
        <v>0</v>
      </c>
      <c r="F111" t="s">
        <v>513</v>
      </c>
      <c r="G111" s="3">
        <v>43504</v>
      </c>
      <c r="H111">
        <v>1</v>
      </c>
      <c r="I111" s="2" t="s">
        <v>12</v>
      </c>
      <c r="J111" s="2" t="s">
        <v>13</v>
      </c>
    </row>
    <row r="112" spans="1:10" hidden="1" x14ac:dyDescent="0.35">
      <c r="A112" s="2" t="s">
        <v>86</v>
      </c>
      <c r="B112" s="2" t="s">
        <v>87</v>
      </c>
      <c r="C112" s="2" t="s">
        <v>11</v>
      </c>
      <c r="D112" s="2" t="s">
        <v>17</v>
      </c>
      <c r="E112">
        <v>90884.32</v>
      </c>
      <c r="F112" t="s">
        <v>511</v>
      </c>
      <c r="G112" s="3">
        <v>43826</v>
      </c>
      <c r="H112">
        <v>1</v>
      </c>
      <c r="I112" s="2" t="s">
        <v>12</v>
      </c>
      <c r="J112" s="2" t="s">
        <v>48</v>
      </c>
    </row>
    <row r="113" spans="1:10" hidden="1" x14ac:dyDescent="0.35">
      <c r="A113" s="2" t="s">
        <v>218</v>
      </c>
      <c r="B113" s="2" t="s">
        <v>219</v>
      </c>
      <c r="C113" s="2" t="s">
        <v>11</v>
      </c>
      <c r="D113" s="2" t="s">
        <v>85</v>
      </c>
      <c r="E113">
        <v>89838.77</v>
      </c>
      <c r="F113" t="s">
        <v>511</v>
      </c>
      <c r="G113" s="3">
        <v>43602</v>
      </c>
      <c r="H113">
        <v>1</v>
      </c>
      <c r="I113" s="2" t="s">
        <v>12</v>
      </c>
      <c r="J113" s="2" t="s">
        <v>13</v>
      </c>
    </row>
    <row r="114" spans="1:10" hidden="1" x14ac:dyDescent="0.35">
      <c r="A114" s="2" t="s">
        <v>220</v>
      </c>
      <c r="B114" s="2" t="s">
        <v>457</v>
      </c>
      <c r="C114" s="2" t="s">
        <v>11</v>
      </c>
      <c r="D114" s="2" t="s">
        <v>85</v>
      </c>
      <c r="E114">
        <v>0</v>
      </c>
      <c r="F114" t="s">
        <v>513</v>
      </c>
      <c r="G114" s="3">
        <v>44462</v>
      </c>
      <c r="H114">
        <v>1</v>
      </c>
      <c r="I114" s="2" t="s">
        <v>12</v>
      </c>
      <c r="J114" s="2" t="s">
        <v>56</v>
      </c>
    </row>
    <row r="115" spans="1:10" hidden="1" x14ac:dyDescent="0.35">
      <c r="A115" s="2" t="s">
        <v>221</v>
      </c>
      <c r="B115" s="2" t="s">
        <v>222</v>
      </c>
      <c r="C115" s="2" t="s">
        <v>16</v>
      </c>
      <c r="D115" s="2" t="s">
        <v>66</v>
      </c>
      <c r="E115">
        <v>68887.839999999997</v>
      </c>
      <c r="F115" t="s">
        <v>511</v>
      </c>
      <c r="G115" s="3">
        <v>43297</v>
      </c>
      <c r="H115">
        <v>1</v>
      </c>
      <c r="I115" s="2" t="s">
        <v>12</v>
      </c>
      <c r="J115" s="2" t="s">
        <v>13</v>
      </c>
    </row>
    <row r="116" spans="1:10" x14ac:dyDescent="0.35">
      <c r="A116" s="2" t="s">
        <v>165</v>
      </c>
      <c r="B116" s="2" t="s">
        <v>458</v>
      </c>
      <c r="C116" s="2" t="s">
        <v>11</v>
      </c>
      <c r="D116" s="2" t="s">
        <v>80</v>
      </c>
      <c r="E116">
        <v>106775.14</v>
      </c>
      <c r="F116" t="s">
        <v>510</v>
      </c>
      <c r="G116" s="3">
        <v>43563</v>
      </c>
      <c r="H116">
        <v>1</v>
      </c>
      <c r="I116" s="2" t="s">
        <v>25</v>
      </c>
      <c r="J116" s="2" t="s">
        <v>27</v>
      </c>
    </row>
    <row r="117" spans="1:10" hidden="1" x14ac:dyDescent="0.35">
      <c r="A117" s="2" t="s">
        <v>223</v>
      </c>
      <c r="B117" s="2" t="s">
        <v>459</v>
      </c>
      <c r="C117" s="2" t="s">
        <v>16</v>
      </c>
      <c r="D117" s="2" t="s">
        <v>21</v>
      </c>
      <c r="E117">
        <v>89690.38</v>
      </c>
      <c r="F117" t="s">
        <v>511</v>
      </c>
      <c r="G117" s="3">
        <v>43213</v>
      </c>
      <c r="H117">
        <v>1</v>
      </c>
      <c r="I117" s="2" t="s">
        <v>12</v>
      </c>
      <c r="J117" s="2" t="s">
        <v>27</v>
      </c>
    </row>
    <row r="118" spans="1:10" x14ac:dyDescent="0.35">
      <c r="A118" s="2" t="s">
        <v>224</v>
      </c>
      <c r="B118" s="2" t="s">
        <v>225</v>
      </c>
      <c r="C118" s="2" t="s">
        <v>11</v>
      </c>
      <c r="D118" s="2" t="s">
        <v>80</v>
      </c>
      <c r="E118">
        <v>111229.47</v>
      </c>
      <c r="F118" t="s">
        <v>510</v>
      </c>
      <c r="G118" s="3">
        <v>43402</v>
      </c>
      <c r="H118">
        <v>1</v>
      </c>
      <c r="I118" s="2" t="s">
        <v>12</v>
      </c>
      <c r="J118" s="2" t="s">
        <v>13</v>
      </c>
    </row>
    <row r="119" spans="1:10" hidden="1" x14ac:dyDescent="0.35">
      <c r="A119" s="2" t="s">
        <v>226</v>
      </c>
      <c r="B119" s="2" t="s">
        <v>227</v>
      </c>
      <c r="C119" s="2" t="s">
        <v>11</v>
      </c>
      <c r="D119" s="2" t="s">
        <v>66</v>
      </c>
      <c r="E119">
        <v>67633.850000000006</v>
      </c>
      <c r="F119" t="s">
        <v>511</v>
      </c>
      <c r="G119" s="3">
        <v>43340</v>
      </c>
      <c r="H119">
        <v>1</v>
      </c>
      <c r="I119" s="2" t="s">
        <v>12</v>
      </c>
      <c r="J119" s="2" t="s">
        <v>48</v>
      </c>
    </row>
    <row r="120" spans="1:10" x14ac:dyDescent="0.35">
      <c r="A120" s="2" t="s">
        <v>228</v>
      </c>
      <c r="B120" s="2" t="s">
        <v>229</v>
      </c>
      <c r="C120" s="2" t="s">
        <v>11</v>
      </c>
      <c r="D120" s="2" t="s">
        <v>21</v>
      </c>
      <c r="E120">
        <v>111815.49</v>
      </c>
      <c r="F120" t="s">
        <v>510</v>
      </c>
      <c r="G120" s="3">
        <v>43895</v>
      </c>
      <c r="H120">
        <v>0.7</v>
      </c>
      <c r="I120" s="2" t="s">
        <v>51</v>
      </c>
      <c r="J120" s="2" t="s">
        <v>13</v>
      </c>
    </row>
    <row r="121" spans="1:10" hidden="1" x14ac:dyDescent="0.35">
      <c r="A121" s="2" t="s">
        <v>230</v>
      </c>
      <c r="B121" s="2" t="s">
        <v>460</v>
      </c>
      <c r="C121" s="2" t="s">
        <v>11</v>
      </c>
      <c r="D121" s="2" t="s">
        <v>17</v>
      </c>
      <c r="E121">
        <v>39784.239999999998</v>
      </c>
      <c r="F121" t="s">
        <v>513</v>
      </c>
      <c r="G121" s="3">
        <v>43465</v>
      </c>
      <c r="H121">
        <v>1</v>
      </c>
      <c r="I121" s="2" t="s">
        <v>25</v>
      </c>
      <c r="J121" s="2" t="s">
        <v>56</v>
      </c>
    </row>
    <row r="122" spans="1:10" hidden="1" x14ac:dyDescent="0.35">
      <c r="A122" s="2" t="s">
        <v>231</v>
      </c>
      <c r="B122" s="2" t="s">
        <v>461</v>
      </c>
      <c r="C122" s="2" t="s">
        <v>16</v>
      </c>
      <c r="D122" s="2" t="s">
        <v>80</v>
      </c>
      <c r="E122">
        <v>89829.33</v>
      </c>
      <c r="F122" t="s">
        <v>511</v>
      </c>
      <c r="G122" s="3">
        <v>43794</v>
      </c>
      <c r="H122">
        <v>1</v>
      </c>
      <c r="I122" s="2" t="s">
        <v>51</v>
      </c>
      <c r="J122" s="2" t="s">
        <v>56</v>
      </c>
    </row>
    <row r="123" spans="1:10" x14ac:dyDescent="0.35">
      <c r="A123" s="2" t="s">
        <v>228</v>
      </c>
      <c r="B123" s="2" t="s">
        <v>229</v>
      </c>
      <c r="C123" s="2" t="s">
        <v>11</v>
      </c>
      <c r="D123" s="2" t="s">
        <v>21</v>
      </c>
      <c r="E123">
        <v>111815.49</v>
      </c>
      <c r="F123" t="s">
        <v>510</v>
      </c>
      <c r="G123" s="3">
        <v>43895</v>
      </c>
      <c r="H123">
        <v>0.7</v>
      </c>
      <c r="I123" s="2" t="s">
        <v>51</v>
      </c>
      <c r="J123" s="2" t="s">
        <v>13</v>
      </c>
    </row>
    <row r="124" spans="1:10" hidden="1" x14ac:dyDescent="0.35">
      <c r="A124" s="2" t="s">
        <v>232</v>
      </c>
      <c r="B124" s="2" t="s">
        <v>233</v>
      </c>
      <c r="C124" s="2" t="s">
        <v>11</v>
      </c>
      <c r="D124" s="2" t="s">
        <v>85</v>
      </c>
      <c r="E124">
        <v>72843.23</v>
      </c>
      <c r="F124" t="s">
        <v>511</v>
      </c>
      <c r="G124" s="3">
        <v>43280</v>
      </c>
      <c r="H124">
        <v>1</v>
      </c>
      <c r="I124" s="2" t="s">
        <v>25</v>
      </c>
      <c r="J124" s="2" t="s">
        <v>31</v>
      </c>
    </row>
    <row r="125" spans="1:10" hidden="1" x14ac:dyDescent="0.35">
      <c r="A125" s="2" t="s">
        <v>193</v>
      </c>
      <c r="B125" s="2" t="s">
        <v>194</v>
      </c>
      <c r="C125" s="2" t="s">
        <v>16</v>
      </c>
      <c r="D125" s="2" t="s">
        <v>66</v>
      </c>
      <c r="E125">
        <v>71823.56</v>
      </c>
      <c r="F125" t="s">
        <v>511</v>
      </c>
      <c r="G125" s="3">
        <v>43374</v>
      </c>
      <c r="H125">
        <v>0.3</v>
      </c>
      <c r="I125" s="2" t="s">
        <v>51</v>
      </c>
      <c r="J125" s="2" t="s">
        <v>13</v>
      </c>
    </row>
    <row r="126" spans="1:10" hidden="1" x14ac:dyDescent="0.35">
      <c r="A126" s="2" t="s">
        <v>234</v>
      </c>
      <c r="B126" s="2" t="s">
        <v>235</v>
      </c>
      <c r="C126" s="2" t="s">
        <v>11</v>
      </c>
      <c r="D126" s="2" t="s">
        <v>17</v>
      </c>
      <c r="E126">
        <v>88511.17</v>
      </c>
      <c r="F126" t="s">
        <v>511</v>
      </c>
      <c r="G126" s="3">
        <v>43950</v>
      </c>
      <c r="H126">
        <v>1</v>
      </c>
      <c r="I126" s="2" t="s">
        <v>12</v>
      </c>
      <c r="J126" s="2" t="s">
        <v>48</v>
      </c>
    </row>
    <row r="127" spans="1:10" hidden="1" x14ac:dyDescent="0.35">
      <c r="A127" s="2" t="s">
        <v>236</v>
      </c>
      <c r="B127" s="2" t="s">
        <v>237</v>
      </c>
      <c r="C127" s="2" t="s">
        <v>11</v>
      </c>
      <c r="D127" s="2" t="s">
        <v>66</v>
      </c>
      <c r="E127">
        <v>36547.58</v>
      </c>
      <c r="F127" t="s">
        <v>513</v>
      </c>
      <c r="G127" s="3">
        <v>43416</v>
      </c>
      <c r="H127">
        <v>1</v>
      </c>
      <c r="I127" s="2" t="s">
        <v>12</v>
      </c>
      <c r="J127" s="2" t="s">
        <v>13</v>
      </c>
    </row>
    <row r="128" spans="1:10" hidden="1" x14ac:dyDescent="0.35">
      <c r="A128" s="2" t="s">
        <v>238</v>
      </c>
      <c r="B128" s="2" t="s">
        <v>462</v>
      </c>
      <c r="C128" s="2" t="s">
        <v>11</v>
      </c>
      <c r="D128" s="2" t="s">
        <v>66</v>
      </c>
      <c r="E128">
        <v>95954.02</v>
      </c>
      <c r="F128" t="s">
        <v>511</v>
      </c>
      <c r="G128" s="3">
        <v>43567</v>
      </c>
      <c r="H128">
        <v>0.3</v>
      </c>
      <c r="I128" s="2" t="s">
        <v>12</v>
      </c>
      <c r="J128" s="2" t="s">
        <v>27</v>
      </c>
    </row>
    <row r="129" spans="1:10" hidden="1" x14ac:dyDescent="0.35">
      <c r="A129" s="2" t="s">
        <v>239</v>
      </c>
      <c r="B129" s="2" t="s">
        <v>463</v>
      </c>
      <c r="C129" s="2" t="s">
        <v>16</v>
      </c>
      <c r="D129" s="2" t="s">
        <v>24</v>
      </c>
      <c r="E129">
        <v>95677.9</v>
      </c>
      <c r="F129" t="s">
        <v>511</v>
      </c>
      <c r="G129" s="3">
        <v>44396</v>
      </c>
      <c r="H129">
        <v>0.3</v>
      </c>
      <c r="I129" s="2" t="s">
        <v>12</v>
      </c>
      <c r="J129" s="2" t="s">
        <v>56</v>
      </c>
    </row>
    <row r="130" spans="1:10" hidden="1" x14ac:dyDescent="0.35">
      <c r="A130" s="2" t="s">
        <v>240</v>
      </c>
      <c r="B130" s="2" t="s">
        <v>464</v>
      </c>
      <c r="C130" s="2" t="s">
        <v>16</v>
      </c>
      <c r="D130" s="2" t="s">
        <v>66</v>
      </c>
      <c r="E130">
        <v>76303.820000000007</v>
      </c>
      <c r="F130" t="s">
        <v>511</v>
      </c>
      <c r="G130" s="3">
        <v>43458</v>
      </c>
      <c r="H130">
        <v>1</v>
      </c>
      <c r="I130" s="2" t="s">
        <v>25</v>
      </c>
      <c r="J130" s="2" t="s">
        <v>27</v>
      </c>
    </row>
    <row r="131" spans="1:10" hidden="1" x14ac:dyDescent="0.35">
      <c r="A131" s="2" t="s">
        <v>241</v>
      </c>
      <c r="B131" s="2" t="s">
        <v>242</v>
      </c>
      <c r="C131" s="2" t="s">
        <v>11</v>
      </c>
      <c r="D131" s="2" t="s">
        <v>85</v>
      </c>
      <c r="E131">
        <v>99460.78</v>
      </c>
      <c r="F131" t="s">
        <v>511</v>
      </c>
      <c r="G131" s="3">
        <v>43956</v>
      </c>
      <c r="H131">
        <v>1</v>
      </c>
      <c r="I131" s="2" t="s">
        <v>12</v>
      </c>
      <c r="J131" s="2" t="s">
        <v>13</v>
      </c>
    </row>
    <row r="132" spans="1:10" hidden="1" x14ac:dyDescent="0.35">
      <c r="A132" s="2" t="s">
        <v>243</v>
      </c>
      <c r="B132" s="2" t="s">
        <v>244</v>
      </c>
      <c r="C132" s="2" t="s">
        <v>16</v>
      </c>
      <c r="D132" s="2" t="s">
        <v>33</v>
      </c>
      <c r="E132">
        <v>88034.67</v>
      </c>
      <c r="F132" t="s">
        <v>511</v>
      </c>
      <c r="G132" s="3">
        <v>43669</v>
      </c>
      <c r="H132">
        <v>1</v>
      </c>
      <c r="I132" s="2" t="s">
        <v>12</v>
      </c>
      <c r="J132" s="2" t="s">
        <v>13</v>
      </c>
    </row>
    <row r="133" spans="1:10" hidden="1" x14ac:dyDescent="0.35">
      <c r="A133" s="2" t="s">
        <v>245</v>
      </c>
      <c r="B133" s="2" t="s">
        <v>246</v>
      </c>
      <c r="C133" s="2" t="s">
        <v>16</v>
      </c>
      <c r="D133" s="2" t="s">
        <v>39</v>
      </c>
      <c r="E133">
        <v>44447.26</v>
      </c>
      <c r="F133" t="s">
        <v>513</v>
      </c>
      <c r="G133" s="3">
        <v>43846</v>
      </c>
      <c r="H133">
        <v>0.4</v>
      </c>
      <c r="I133" s="2" t="s">
        <v>12</v>
      </c>
      <c r="J133" s="2" t="s">
        <v>18</v>
      </c>
    </row>
    <row r="134" spans="1:10" hidden="1" x14ac:dyDescent="0.35">
      <c r="A134" s="2" t="s">
        <v>247</v>
      </c>
      <c r="B134" s="2" t="s">
        <v>465</v>
      </c>
      <c r="C134" s="2" t="s">
        <v>11</v>
      </c>
      <c r="D134" s="2" t="s">
        <v>80</v>
      </c>
      <c r="E134">
        <v>40445.29</v>
      </c>
      <c r="F134" t="s">
        <v>513</v>
      </c>
      <c r="G134" s="3">
        <v>44393</v>
      </c>
      <c r="H134">
        <v>1</v>
      </c>
      <c r="I134" s="2" t="s">
        <v>12</v>
      </c>
      <c r="J134" s="2" t="s">
        <v>56</v>
      </c>
    </row>
    <row r="135" spans="1:10" hidden="1" x14ac:dyDescent="0.35">
      <c r="A135" s="2" t="s">
        <v>248</v>
      </c>
      <c r="B135" s="2" t="s">
        <v>466</v>
      </c>
      <c r="C135" s="2" t="s">
        <v>16</v>
      </c>
      <c r="D135" s="2" t="s">
        <v>39</v>
      </c>
      <c r="E135">
        <v>92336.08</v>
      </c>
      <c r="F135" t="s">
        <v>511</v>
      </c>
      <c r="G135" s="3">
        <v>44431</v>
      </c>
      <c r="H135">
        <v>1</v>
      </c>
      <c r="I135" s="2" t="s">
        <v>12</v>
      </c>
      <c r="J135" s="2" t="s">
        <v>27</v>
      </c>
    </row>
    <row r="136" spans="1:10" hidden="1" x14ac:dyDescent="0.35">
      <c r="A136" s="2" t="s">
        <v>249</v>
      </c>
      <c r="B136" s="2" t="s">
        <v>250</v>
      </c>
      <c r="C136" s="2" t="s">
        <v>16</v>
      </c>
      <c r="D136" s="2" t="s">
        <v>36</v>
      </c>
      <c r="E136">
        <v>68008.55</v>
      </c>
      <c r="F136" t="s">
        <v>511</v>
      </c>
      <c r="G136" s="3">
        <v>44062</v>
      </c>
      <c r="H136">
        <v>1</v>
      </c>
      <c r="I136" s="2" t="s">
        <v>12</v>
      </c>
      <c r="J136" s="2" t="s">
        <v>52</v>
      </c>
    </row>
    <row r="137" spans="1:10" hidden="1" x14ac:dyDescent="0.35">
      <c r="A137" s="2" t="s">
        <v>251</v>
      </c>
      <c r="B137" s="2" t="s">
        <v>467</v>
      </c>
      <c r="C137" s="2" t="s">
        <v>11</v>
      </c>
      <c r="D137" s="2" t="s">
        <v>80</v>
      </c>
      <c r="E137">
        <v>74924.649999999994</v>
      </c>
      <c r="F137" t="s">
        <v>511</v>
      </c>
      <c r="G137" s="3">
        <v>44239</v>
      </c>
      <c r="H137">
        <v>1</v>
      </c>
      <c r="I137" s="2" t="s">
        <v>12</v>
      </c>
      <c r="J137" s="2" t="s">
        <v>27</v>
      </c>
    </row>
    <row r="138" spans="1:10" hidden="1" x14ac:dyDescent="0.35">
      <c r="A138" s="2" t="s">
        <v>252</v>
      </c>
      <c r="B138" s="2" t="s">
        <v>253</v>
      </c>
      <c r="C138" s="2" t="s">
        <v>11</v>
      </c>
      <c r="D138" s="2" t="s">
        <v>21</v>
      </c>
      <c r="E138">
        <v>88689.09</v>
      </c>
      <c r="F138" t="s">
        <v>511</v>
      </c>
      <c r="G138" s="3">
        <v>43740</v>
      </c>
      <c r="H138">
        <v>1</v>
      </c>
      <c r="I138" s="2" t="s">
        <v>12</v>
      </c>
      <c r="J138" s="2" t="s">
        <v>18</v>
      </c>
    </row>
    <row r="139" spans="1:10" hidden="1" x14ac:dyDescent="0.35">
      <c r="A139" s="2" t="s">
        <v>254</v>
      </c>
      <c r="B139" s="2" t="s">
        <v>468</v>
      </c>
      <c r="C139" s="2" t="s">
        <v>16</v>
      </c>
      <c r="D139" s="2" t="s">
        <v>39</v>
      </c>
      <c r="E139">
        <v>96555.53</v>
      </c>
      <c r="F139" t="s">
        <v>511</v>
      </c>
      <c r="G139" s="3">
        <v>43489</v>
      </c>
      <c r="H139">
        <v>0.2</v>
      </c>
      <c r="I139" s="2" t="s">
        <v>51</v>
      </c>
      <c r="J139" s="2" t="s">
        <v>27</v>
      </c>
    </row>
    <row r="140" spans="1:10" hidden="1" x14ac:dyDescent="0.35">
      <c r="A140" s="2" t="s">
        <v>255</v>
      </c>
      <c r="B140" s="2" t="s">
        <v>469</v>
      </c>
      <c r="C140" s="2" t="s">
        <v>16</v>
      </c>
      <c r="D140" s="2" t="s">
        <v>33</v>
      </c>
      <c r="E140">
        <v>71924.850000000006</v>
      </c>
      <c r="F140" t="s">
        <v>511</v>
      </c>
      <c r="G140" s="3">
        <v>43822</v>
      </c>
      <c r="H140">
        <v>1</v>
      </c>
      <c r="I140" s="2" t="s">
        <v>12</v>
      </c>
      <c r="J140" s="2" t="s">
        <v>56</v>
      </c>
    </row>
    <row r="141" spans="1:10" hidden="1" x14ac:dyDescent="0.35">
      <c r="A141" s="2" t="s">
        <v>256</v>
      </c>
      <c r="B141" s="2" t="s">
        <v>257</v>
      </c>
      <c r="C141" s="2" t="s">
        <v>11</v>
      </c>
      <c r="D141" s="2" t="s">
        <v>80</v>
      </c>
      <c r="E141">
        <v>31241.24</v>
      </c>
      <c r="F141" t="s">
        <v>513</v>
      </c>
      <c r="G141" s="3">
        <v>43725</v>
      </c>
      <c r="H141">
        <v>1</v>
      </c>
      <c r="I141" s="2" t="s">
        <v>12</v>
      </c>
      <c r="J141" s="2" t="s">
        <v>13</v>
      </c>
    </row>
    <row r="142" spans="1:10" x14ac:dyDescent="0.35">
      <c r="A142" s="2" t="s">
        <v>258</v>
      </c>
      <c r="B142" s="2" t="s">
        <v>259</v>
      </c>
      <c r="C142" s="2" t="s">
        <v>11</v>
      </c>
      <c r="D142" s="2" t="s">
        <v>17</v>
      </c>
      <c r="E142">
        <v>110042.37</v>
      </c>
      <c r="F142" t="s">
        <v>510</v>
      </c>
      <c r="G142" s="3">
        <v>43914</v>
      </c>
      <c r="H142">
        <v>1</v>
      </c>
      <c r="I142" s="2" t="s">
        <v>12</v>
      </c>
      <c r="J142" s="2" t="s">
        <v>48</v>
      </c>
    </row>
    <row r="143" spans="1:10" hidden="1" x14ac:dyDescent="0.35">
      <c r="A143" s="2" t="s">
        <v>55</v>
      </c>
      <c r="B143" s="2" t="s">
        <v>470</v>
      </c>
      <c r="C143" s="2" t="s">
        <v>16</v>
      </c>
      <c r="D143" s="2" t="s">
        <v>24</v>
      </c>
      <c r="E143">
        <v>37902.35</v>
      </c>
      <c r="F143" t="s">
        <v>513</v>
      </c>
      <c r="G143" s="3">
        <v>43823</v>
      </c>
      <c r="H143">
        <v>1</v>
      </c>
      <c r="I143" s="2" t="s">
        <v>12</v>
      </c>
      <c r="J143" s="2" t="s">
        <v>56</v>
      </c>
    </row>
    <row r="144" spans="1:10" hidden="1" x14ac:dyDescent="0.35">
      <c r="A144" s="2" t="s">
        <v>260</v>
      </c>
      <c r="B144" s="2" t="s">
        <v>471</v>
      </c>
      <c r="C144" s="2" t="s">
        <v>16</v>
      </c>
      <c r="D144" s="2" t="s">
        <v>17</v>
      </c>
      <c r="E144">
        <v>33031.26</v>
      </c>
      <c r="F144" t="s">
        <v>513</v>
      </c>
      <c r="G144" s="3">
        <v>43468</v>
      </c>
      <c r="H144">
        <v>0.4</v>
      </c>
      <c r="I144" s="2" t="s">
        <v>12</v>
      </c>
      <c r="J144" s="2" t="s">
        <v>27</v>
      </c>
    </row>
    <row r="145" spans="1:10" hidden="1" x14ac:dyDescent="0.35">
      <c r="A145" s="2" t="s">
        <v>261</v>
      </c>
      <c r="B145" s="2" t="s">
        <v>262</v>
      </c>
      <c r="C145" s="2" t="s">
        <v>16</v>
      </c>
      <c r="D145" s="2" t="s">
        <v>85</v>
      </c>
      <c r="E145">
        <v>32496.880000000001</v>
      </c>
      <c r="F145" t="s">
        <v>513</v>
      </c>
      <c r="G145" s="3">
        <v>43234</v>
      </c>
      <c r="H145">
        <v>1</v>
      </c>
      <c r="I145" s="2" t="s">
        <v>51</v>
      </c>
      <c r="J145" s="2" t="s">
        <v>13</v>
      </c>
    </row>
    <row r="146" spans="1:10" hidden="1" x14ac:dyDescent="0.35">
      <c r="A146" s="2" t="s">
        <v>263</v>
      </c>
      <c r="B146" s="2" t="s">
        <v>264</v>
      </c>
      <c r="C146" s="2" t="s">
        <v>16</v>
      </c>
      <c r="D146" s="2" t="s">
        <v>21</v>
      </c>
      <c r="E146">
        <v>81897.789999999994</v>
      </c>
      <c r="F146" t="s">
        <v>511</v>
      </c>
      <c r="G146" s="3">
        <v>43146</v>
      </c>
      <c r="H146">
        <v>1</v>
      </c>
      <c r="I146" s="2" t="s">
        <v>12</v>
      </c>
      <c r="J146" s="2" t="s">
        <v>52</v>
      </c>
    </row>
    <row r="147" spans="1:10" x14ac:dyDescent="0.35">
      <c r="A147" s="2" t="s">
        <v>265</v>
      </c>
      <c r="B147" s="2" t="s">
        <v>266</v>
      </c>
      <c r="C147" s="2" t="s">
        <v>11</v>
      </c>
      <c r="D147" s="2" t="s">
        <v>30</v>
      </c>
      <c r="E147">
        <v>108872.77</v>
      </c>
      <c r="F147" t="s">
        <v>510</v>
      </c>
      <c r="G147" s="3">
        <v>43521</v>
      </c>
      <c r="H147">
        <v>1</v>
      </c>
      <c r="I147" s="2" t="s">
        <v>12</v>
      </c>
      <c r="J147" s="2" t="s">
        <v>13</v>
      </c>
    </row>
    <row r="148" spans="1:10" hidden="1" x14ac:dyDescent="0.35">
      <c r="A148" s="2" t="s">
        <v>267</v>
      </c>
      <c r="B148" s="2" t="s">
        <v>268</v>
      </c>
      <c r="C148" s="2" t="s">
        <v>11</v>
      </c>
      <c r="D148" s="2" t="s">
        <v>36</v>
      </c>
      <c r="E148">
        <v>89605.13</v>
      </c>
      <c r="F148" t="s">
        <v>511</v>
      </c>
      <c r="G148" s="3">
        <v>43258</v>
      </c>
      <c r="H148">
        <v>1</v>
      </c>
      <c r="I148" s="2" t="s">
        <v>12</v>
      </c>
      <c r="J148" s="2" t="s">
        <v>18</v>
      </c>
    </row>
    <row r="149" spans="1:10" hidden="1" x14ac:dyDescent="0.35">
      <c r="A149" s="2" t="s">
        <v>269</v>
      </c>
      <c r="B149" s="2" t="s">
        <v>270</v>
      </c>
      <c r="C149" s="2" t="s">
        <v>512</v>
      </c>
      <c r="D149" s="2" t="s">
        <v>85</v>
      </c>
      <c r="E149">
        <v>63447.07</v>
      </c>
      <c r="F149" t="s">
        <v>511</v>
      </c>
      <c r="G149" s="3">
        <v>44148</v>
      </c>
      <c r="H149">
        <v>1</v>
      </c>
      <c r="I149" s="2" t="s">
        <v>51</v>
      </c>
      <c r="J149" s="2" t="s">
        <v>31</v>
      </c>
    </row>
    <row r="150" spans="1:10" x14ac:dyDescent="0.35">
      <c r="A150" s="2" t="s">
        <v>271</v>
      </c>
      <c r="B150" s="2" t="s">
        <v>272</v>
      </c>
      <c r="C150" s="2" t="s">
        <v>16</v>
      </c>
      <c r="D150" s="2" t="s">
        <v>80</v>
      </c>
      <c r="E150">
        <v>106665.67</v>
      </c>
      <c r="F150" t="s">
        <v>510</v>
      </c>
      <c r="G150" s="3">
        <v>43311</v>
      </c>
      <c r="H150">
        <v>1</v>
      </c>
      <c r="I150" s="2" t="s">
        <v>51</v>
      </c>
      <c r="J150" s="2" t="s">
        <v>48</v>
      </c>
    </row>
    <row r="151" spans="1:10" x14ac:dyDescent="0.35">
      <c r="A151" s="2" t="s">
        <v>273</v>
      </c>
      <c r="B151" s="2" t="s">
        <v>274</v>
      </c>
      <c r="C151" s="2" t="s">
        <v>11</v>
      </c>
      <c r="D151" s="2" t="s">
        <v>21</v>
      </c>
      <c r="E151">
        <v>100424.23</v>
      </c>
      <c r="F151" t="s">
        <v>510</v>
      </c>
      <c r="G151" s="3">
        <v>43801</v>
      </c>
      <c r="H151">
        <v>1</v>
      </c>
      <c r="I151" s="2" t="s">
        <v>12</v>
      </c>
      <c r="J151" s="2" t="s">
        <v>52</v>
      </c>
    </row>
    <row r="152" spans="1:10" hidden="1" x14ac:dyDescent="0.35">
      <c r="A152" s="2" t="s">
        <v>275</v>
      </c>
      <c r="B152" s="2" t="s">
        <v>472</v>
      </c>
      <c r="C152" s="2" t="s">
        <v>11</v>
      </c>
      <c r="D152" s="2" t="s">
        <v>21</v>
      </c>
      <c r="E152">
        <v>47646.95</v>
      </c>
      <c r="F152" t="s">
        <v>513</v>
      </c>
      <c r="G152" s="3">
        <v>43791</v>
      </c>
      <c r="H152">
        <v>0.3</v>
      </c>
      <c r="I152" s="2" t="s">
        <v>25</v>
      </c>
      <c r="J152" s="2" t="s">
        <v>56</v>
      </c>
    </row>
    <row r="153" spans="1:10" hidden="1" x14ac:dyDescent="0.35">
      <c r="A153" s="2" t="s">
        <v>276</v>
      </c>
      <c r="B153" s="2" t="s">
        <v>473</v>
      </c>
      <c r="C153" s="2" t="s">
        <v>11</v>
      </c>
      <c r="D153" s="2" t="s">
        <v>85</v>
      </c>
      <c r="E153">
        <v>28481.16</v>
      </c>
      <c r="F153" t="s">
        <v>513</v>
      </c>
      <c r="G153" s="3">
        <v>43916</v>
      </c>
      <c r="H153">
        <v>1</v>
      </c>
      <c r="I153" s="2" t="s">
        <v>12</v>
      </c>
      <c r="J153" s="2" t="s">
        <v>27</v>
      </c>
    </row>
    <row r="154" spans="1:10" hidden="1" x14ac:dyDescent="0.35">
      <c r="A154" s="2" t="s">
        <v>277</v>
      </c>
      <c r="B154" s="2" t="s">
        <v>278</v>
      </c>
      <c r="C154" s="2" t="s">
        <v>16</v>
      </c>
      <c r="D154" s="2" t="s">
        <v>69</v>
      </c>
      <c r="E154">
        <v>39535.49</v>
      </c>
      <c r="F154" t="s">
        <v>513</v>
      </c>
      <c r="G154" s="3">
        <v>43397</v>
      </c>
      <c r="H154">
        <v>0.3</v>
      </c>
      <c r="I154" s="2" t="s">
        <v>12</v>
      </c>
      <c r="J154" s="2" t="s">
        <v>13</v>
      </c>
    </row>
    <row r="155" spans="1:10" hidden="1" x14ac:dyDescent="0.35">
      <c r="A155" s="2" t="s">
        <v>279</v>
      </c>
      <c r="B155" s="2" t="s">
        <v>280</v>
      </c>
      <c r="C155" s="2" t="s">
        <v>11</v>
      </c>
      <c r="D155" s="2" t="s">
        <v>33</v>
      </c>
      <c r="E155">
        <v>95017.1</v>
      </c>
      <c r="F155" t="s">
        <v>511</v>
      </c>
      <c r="G155" s="3">
        <v>43283</v>
      </c>
      <c r="H155">
        <v>1</v>
      </c>
      <c r="I155" s="2" t="s">
        <v>25</v>
      </c>
      <c r="J155" s="2" t="s">
        <v>18</v>
      </c>
    </row>
    <row r="156" spans="1:10" hidden="1" x14ac:dyDescent="0.35">
      <c r="A156" s="2" t="s">
        <v>281</v>
      </c>
      <c r="B156" s="2" t="s">
        <v>282</v>
      </c>
      <c r="C156" s="2" t="s">
        <v>11</v>
      </c>
      <c r="D156" s="2" t="s">
        <v>17</v>
      </c>
      <c r="E156">
        <v>69764.100000000006</v>
      </c>
      <c r="F156" t="s">
        <v>511</v>
      </c>
      <c r="G156" s="3">
        <v>44195</v>
      </c>
      <c r="H156">
        <v>1</v>
      </c>
      <c r="I156" s="2" t="s">
        <v>25</v>
      </c>
      <c r="J156" s="2" t="s">
        <v>18</v>
      </c>
    </row>
    <row r="157" spans="1:10" hidden="1" x14ac:dyDescent="0.35">
      <c r="A157" s="2" t="s">
        <v>283</v>
      </c>
      <c r="B157" s="2" t="s">
        <v>284</v>
      </c>
      <c r="C157" s="2" t="s">
        <v>16</v>
      </c>
      <c r="D157" s="2" t="s">
        <v>69</v>
      </c>
      <c r="E157">
        <v>84598.88</v>
      </c>
      <c r="F157" t="s">
        <v>511</v>
      </c>
      <c r="G157" s="3">
        <v>44116</v>
      </c>
      <c r="H157">
        <v>1</v>
      </c>
      <c r="I157" s="2" t="s">
        <v>25</v>
      </c>
      <c r="J157" s="2" t="s">
        <v>18</v>
      </c>
    </row>
    <row r="158" spans="1:10" hidden="1" x14ac:dyDescent="0.35">
      <c r="A158" s="2" t="s">
        <v>285</v>
      </c>
      <c r="B158" s="2" t="s">
        <v>474</v>
      </c>
      <c r="C158" s="2" t="s">
        <v>11</v>
      </c>
      <c r="D158" s="2" t="s">
        <v>30</v>
      </c>
      <c r="E158">
        <v>36536.26</v>
      </c>
      <c r="F158" t="s">
        <v>513</v>
      </c>
      <c r="G158" s="3">
        <v>44358</v>
      </c>
      <c r="H158">
        <v>1</v>
      </c>
      <c r="I158" s="2" t="s">
        <v>51</v>
      </c>
      <c r="J158" s="2" t="s">
        <v>27</v>
      </c>
    </row>
    <row r="159" spans="1:10" hidden="1" x14ac:dyDescent="0.35">
      <c r="A159" s="2" t="s">
        <v>286</v>
      </c>
      <c r="B159" s="2" t="s">
        <v>475</v>
      </c>
      <c r="C159" s="2" t="s">
        <v>16</v>
      </c>
      <c r="D159" s="2" t="s">
        <v>17</v>
      </c>
      <c r="E159">
        <v>61688.77</v>
      </c>
      <c r="F159" t="s">
        <v>511</v>
      </c>
      <c r="G159" s="3">
        <v>43346</v>
      </c>
      <c r="H159">
        <v>0.9</v>
      </c>
      <c r="I159" s="2" t="s">
        <v>12</v>
      </c>
      <c r="J159" s="2" t="s">
        <v>56</v>
      </c>
    </row>
    <row r="160" spans="1:10" hidden="1" x14ac:dyDescent="0.35">
      <c r="A160" s="2" t="s">
        <v>287</v>
      </c>
      <c r="B160" s="2" t="s">
        <v>476</v>
      </c>
      <c r="C160" s="2" t="s">
        <v>16</v>
      </c>
      <c r="D160" s="2" t="s">
        <v>30</v>
      </c>
      <c r="E160">
        <v>88425.08</v>
      </c>
      <c r="F160" t="s">
        <v>511</v>
      </c>
      <c r="G160" s="3">
        <v>43662</v>
      </c>
      <c r="H160">
        <v>1</v>
      </c>
      <c r="I160" s="2" t="s">
        <v>12</v>
      </c>
      <c r="J160" s="2" t="s">
        <v>27</v>
      </c>
    </row>
    <row r="161" spans="1:10" hidden="1" x14ac:dyDescent="0.35">
      <c r="A161" s="2" t="s">
        <v>130</v>
      </c>
      <c r="B161" s="2" t="s">
        <v>477</v>
      </c>
      <c r="C161" s="2" t="s">
        <v>16</v>
      </c>
      <c r="D161" s="2" t="s">
        <v>80</v>
      </c>
      <c r="E161">
        <v>38438.239999999998</v>
      </c>
      <c r="F161" t="s">
        <v>513</v>
      </c>
      <c r="G161" s="3">
        <v>43962</v>
      </c>
      <c r="H161">
        <v>1</v>
      </c>
      <c r="I161" s="2" t="s">
        <v>12</v>
      </c>
      <c r="J161" s="2" t="s">
        <v>56</v>
      </c>
    </row>
    <row r="162" spans="1:10" hidden="1" x14ac:dyDescent="0.35">
      <c r="A162" s="2" t="s">
        <v>288</v>
      </c>
      <c r="B162" s="2" t="s">
        <v>289</v>
      </c>
      <c r="C162" s="2" t="s">
        <v>11</v>
      </c>
      <c r="D162" s="2" t="s">
        <v>69</v>
      </c>
      <c r="E162">
        <v>96753.78</v>
      </c>
      <c r="F162" t="s">
        <v>511</v>
      </c>
      <c r="G162" s="3">
        <v>44494</v>
      </c>
      <c r="H162">
        <v>1</v>
      </c>
      <c r="I162" s="2" t="s">
        <v>12</v>
      </c>
      <c r="J162" s="2" t="s">
        <v>52</v>
      </c>
    </row>
    <row r="163" spans="1:10" x14ac:dyDescent="0.35">
      <c r="A163" s="2" t="s">
        <v>201</v>
      </c>
      <c r="B163" s="2" t="s">
        <v>202</v>
      </c>
      <c r="C163" s="2" t="s">
        <v>11</v>
      </c>
      <c r="D163" s="2" t="s">
        <v>24</v>
      </c>
      <c r="E163">
        <v>112778.28</v>
      </c>
      <c r="F163" t="s">
        <v>510</v>
      </c>
      <c r="G163" s="3">
        <v>43250</v>
      </c>
      <c r="H163">
        <v>1</v>
      </c>
      <c r="I163" s="2" t="s">
        <v>25</v>
      </c>
      <c r="J163" s="2" t="s">
        <v>13</v>
      </c>
    </row>
    <row r="164" spans="1:10" hidden="1" x14ac:dyDescent="0.35">
      <c r="A164" s="2" t="s">
        <v>290</v>
      </c>
      <c r="B164" s="2" t="s">
        <v>291</v>
      </c>
      <c r="C164" s="2" t="s">
        <v>16</v>
      </c>
      <c r="D164" s="2" t="s">
        <v>33</v>
      </c>
      <c r="E164">
        <v>28974.03</v>
      </c>
      <c r="F164" t="s">
        <v>513</v>
      </c>
      <c r="G164" s="3">
        <v>43733</v>
      </c>
      <c r="H164">
        <v>1</v>
      </c>
      <c r="I164" s="2" t="s">
        <v>12</v>
      </c>
      <c r="J164" s="2" t="s">
        <v>52</v>
      </c>
    </row>
    <row r="165" spans="1:10" hidden="1" x14ac:dyDescent="0.35">
      <c r="A165" s="2" t="s">
        <v>292</v>
      </c>
      <c r="B165" s="2" t="s">
        <v>478</v>
      </c>
      <c r="C165" s="2" t="s">
        <v>16</v>
      </c>
      <c r="D165" s="2" t="s">
        <v>17</v>
      </c>
      <c r="E165">
        <v>86233.83</v>
      </c>
      <c r="F165" t="s">
        <v>511</v>
      </c>
      <c r="G165" s="3">
        <v>43706</v>
      </c>
      <c r="H165">
        <v>1</v>
      </c>
      <c r="I165" s="2" t="s">
        <v>25</v>
      </c>
      <c r="J165" s="2" t="s">
        <v>56</v>
      </c>
    </row>
    <row r="166" spans="1:10" hidden="1" x14ac:dyDescent="0.35">
      <c r="A166" s="2" t="s">
        <v>149</v>
      </c>
      <c r="B166" s="2" t="s">
        <v>150</v>
      </c>
      <c r="C166" s="2" t="s">
        <v>16</v>
      </c>
      <c r="D166" s="2" t="s">
        <v>80</v>
      </c>
      <c r="E166">
        <v>66865.490000000005</v>
      </c>
      <c r="F166" t="s">
        <v>511</v>
      </c>
      <c r="G166" s="3">
        <v>43514</v>
      </c>
      <c r="H166">
        <v>1</v>
      </c>
      <c r="I166" s="2" t="s">
        <v>12</v>
      </c>
      <c r="J166" s="2" t="s">
        <v>18</v>
      </c>
    </row>
    <row r="167" spans="1:10" x14ac:dyDescent="0.35">
      <c r="A167" s="2" t="s">
        <v>293</v>
      </c>
      <c r="B167" s="2" t="s">
        <v>294</v>
      </c>
      <c r="C167" s="2" t="s">
        <v>11</v>
      </c>
      <c r="D167" s="2" t="s">
        <v>66</v>
      </c>
      <c r="E167">
        <v>119022.49</v>
      </c>
      <c r="F167" t="s">
        <v>510</v>
      </c>
      <c r="G167" s="3">
        <v>44431</v>
      </c>
      <c r="H167">
        <v>1</v>
      </c>
      <c r="I167" s="2" t="s">
        <v>12</v>
      </c>
      <c r="J167" s="2" t="s">
        <v>52</v>
      </c>
    </row>
    <row r="168" spans="1:10" x14ac:dyDescent="0.35">
      <c r="A168" s="2" t="s">
        <v>295</v>
      </c>
      <c r="B168" s="2" t="s">
        <v>296</v>
      </c>
      <c r="C168" s="2" t="s">
        <v>16</v>
      </c>
      <c r="D168" s="2" t="s">
        <v>66</v>
      </c>
      <c r="E168">
        <v>114177.23</v>
      </c>
      <c r="F168" t="s">
        <v>510</v>
      </c>
      <c r="G168" s="3">
        <v>43908</v>
      </c>
      <c r="H168">
        <v>1</v>
      </c>
      <c r="I168" s="2" t="s">
        <v>12</v>
      </c>
      <c r="J168" s="2" t="s">
        <v>31</v>
      </c>
    </row>
    <row r="169" spans="1:10" x14ac:dyDescent="0.35">
      <c r="A169" s="2" t="s">
        <v>297</v>
      </c>
      <c r="B169" s="2" t="s">
        <v>298</v>
      </c>
      <c r="C169" s="2" t="s">
        <v>16</v>
      </c>
      <c r="D169" s="2" t="s">
        <v>63</v>
      </c>
      <c r="E169">
        <v>100731.95</v>
      </c>
      <c r="F169" t="s">
        <v>510</v>
      </c>
      <c r="G169" s="3">
        <v>43936</v>
      </c>
      <c r="H169">
        <v>1</v>
      </c>
      <c r="I169" s="2" t="s">
        <v>12</v>
      </c>
      <c r="J169" s="2" t="s">
        <v>52</v>
      </c>
    </row>
    <row r="170" spans="1:10" hidden="1" x14ac:dyDescent="0.35">
      <c r="A170" s="2" t="s">
        <v>299</v>
      </c>
      <c r="B170" s="2" t="s">
        <v>479</v>
      </c>
      <c r="C170" s="2" t="s">
        <v>16</v>
      </c>
      <c r="D170" s="2" t="s">
        <v>24</v>
      </c>
      <c r="E170">
        <v>86010.54</v>
      </c>
      <c r="F170" t="s">
        <v>511</v>
      </c>
      <c r="G170" s="3">
        <v>43164</v>
      </c>
      <c r="H170">
        <v>1</v>
      </c>
      <c r="I170" s="2" t="s">
        <v>12</v>
      </c>
      <c r="J170" s="2" t="s">
        <v>56</v>
      </c>
    </row>
    <row r="171" spans="1:10" hidden="1" x14ac:dyDescent="0.35">
      <c r="A171" s="2" t="s">
        <v>300</v>
      </c>
      <c r="B171" s="2" t="s">
        <v>480</v>
      </c>
      <c r="C171" s="2" t="s">
        <v>11</v>
      </c>
      <c r="D171" s="2" t="s">
        <v>66</v>
      </c>
      <c r="E171">
        <v>52270.22</v>
      </c>
      <c r="F171" t="s">
        <v>511</v>
      </c>
      <c r="G171" s="3">
        <v>43521</v>
      </c>
      <c r="H171">
        <v>0.3</v>
      </c>
      <c r="I171" s="2" t="s">
        <v>12</v>
      </c>
      <c r="J171" s="2" t="s">
        <v>56</v>
      </c>
    </row>
    <row r="172" spans="1:10" hidden="1" x14ac:dyDescent="0.35">
      <c r="A172" s="2" t="s">
        <v>301</v>
      </c>
      <c r="B172" s="2" t="s">
        <v>481</v>
      </c>
      <c r="C172" s="2" t="s">
        <v>11</v>
      </c>
      <c r="D172" s="2" t="s">
        <v>30</v>
      </c>
      <c r="E172">
        <v>61624.77</v>
      </c>
      <c r="F172" t="s">
        <v>511</v>
      </c>
      <c r="G172" s="3">
        <v>43430</v>
      </c>
      <c r="H172">
        <v>0.3</v>
      </c>
      <c r="I172" s="2" t="s">
        <v>25</v>
      </c>
      <c r="J172" s="2" t="s">
        <v>27</v>
      </c>
    </row>
    <row r="173" spans="1:10" x14ac:dyDescent="0.35">
      <c r="A173" s="2" t="s">
        <v>302</v>
      </c>
      <c r="B173" s="2" t="s">
        <v>482</v>
      </c>
      <c r="C173" s="2" t="s">
        <v>16</v>
      </c>
      <c r="D173" s="2" t="s">
        <v>36</v>
      </c>
      <c r="E173">
        <v>104903.79</v>
      </c>
      <c r="F173" t="s">
        <v>510</v>
      </c>
      <c r="G173" s="3">
        <v>43649</v>
      </c>
      <c r="H173">
        <v>1</v>
      </c>
      <c r="I173" s="2" t="s">
        <v>12</v>
      </c>
      <c r="J173" s="2" t="s">
        <v>56</v>
      </c>
    </row>
    <row r="174" spans="1:10" hidden="1" x14ac:dyDescent="0.35">
      <c r="A174" s="2" t="s">
        <v>145</v>
      </c>
      <c r="B174" s="2" t="s">
        <v>146</v>
      </c>
      <c r="C174" s="2" t="s">
        <v>16</v>
      </c>
      <c r="D174" s="2" t="s">
        <v>21</v>
      </c>
      <c r="E174">
        <v>69057.320000000007</v>
      </c>
      <c r="F174" t="s">
        <v>511</v>
      </c>
      <c r="G174" s="3">
        <v>43390</v>
      </c>
      <c r="H174">
        <v>1</v>
      </c>
      <c r="I174" s="2" t="s">
        <v>12</v>
      </c>
      <c r="J174" s="2" t="s">
        <v>31</v>
      </c>
    </row>
    <row r="175" spans="1:10" hidden="1" x14ac:dyDescent="0.35">
      <c r="A175" s="2" t="s">
        <v>199</v>
      </c>
      <c r="B175" s="2" t="s">
        <v>200</v>
      </c>
      <c r="C175" s="2" t="s">
        <v>11</v>
      </c>
      <c r="D175" s="2" t="s">
        <v>33</v>
      </c>
      <c r="E175">
        <v>59258.19</v>
      </c>
      <c r="F175" t="s">
        <v>511</v>
      </c>
      <c r="G175" s="3">
        <v>43452</v>
      </c>
      <c r="H175">
        <v>0.8</v>
      </c>
      <c r="I175" s="2" t="s">
        <v>12</v>
      </c>
      <c r="J175" s="2" t="s">
        <v>18</v>
      </c>
    </row>
    <row r="176" spans="1:10" hidden="1" x14ac:dyDescent="0.35">
      <c r="A176" s="2" t="s">
        <v>303</v>
      </c>
      <c r="B176" s="2" t="s">
        <v>304</v>
      </c>
      <c r="C176" s="2" t="s">
        <v>11</v>
      </c>
      <c r="D176" s="2" t="s">
        <v>39</v>
      </c>
      <c r="E176">
        <v>28160.79</v>
      </c>
      <c r="F176" t="s">
        <v>513</v>
      </c>
      <c r="G176" s="3">
        <v>43129</v>
      </c>
      <c r="H176">
        <v>1</v>
      </c>
      <c r="I176" s="2" t="s">
        <v>51</v>
      </c>
      <c r="J176" s="2" t="s">
        <v>13</v>
      </c>
    </row>
    <row r="177" spans="1:10" x14ac:dyDescent="0.35">
      <c r="A177" s="2" t="s">
        <v>305</v>
      </c>
      <c r="B177" s="2" t="s">
        <v>306</v>
      </c>
      <c r="C177" s="2" t="s">
        <v>11</v>
      </c>
      <c r="D177" s="2" t="s">
        <v>30</v>
      </c>
      <c r="E177">
        <v>109143.17</v>
      </c>
      <c r="F177" t="s">
        <v>510</v>
      </c>
      <c r="G177" s="3">
        <v>43945</v>
      </c>
      <c r="H177">
        <v>1</v>
      </c>
      <c r="I177" s="2" t="s">
        <v>12</v>
      </c>
      <c r="J177" s="2" t="s">
        <v>31</v>
      </c>
    </row>
    <row r="178" spans="1:10" hidden="1" x14ac:dyDescent="0.35">
      <c r="A178" s="2" t="s">
        <v>307</v>
      </c>
      <c r="B178" s="2" t="s">
        <v>483</v>
      </c>
      <c r="C178" s="2" t="s">
        <v>16</v>
      </c>
      <c r="D178" s="2" t="s">
        <v>36</v>
      </c>
      <c r="E178">
        <v>70755.5</v>
      </c>
      <c r="F178" t="s">
        <v>511</v>
      </c>
      <c r="G178" s="3">
        <v>44090</v>
      </c>
      <c r="H178">
        <v>0.8</v>
      </c>
      <c r="I178" s="2" t="s">
        <v>51</v>
      </c>
      <c r="J178" s="2" t="s">
        <v>27</v>
      </c>
    </row>
    <row r="179" spans="1:10" hidden="1" x14ac:dyDescent="0.35">
      <c r="A179" s="2" t="s">
        <v>90</v>
      </c>
      <c r="B179" s="2" t="s">
        <v>91</v>
      </c>
      <c r="C179" s="2" t="s">
        <v>11</v>
      </c>
      <c r="D179" s="2" t="s">
        <v>17</v>
      </c>
      <c r="E179">
        <v>73360.38</v>
      </c>
      <c r="F179" t="s">
        <v>511</v>
      </c>
      <c r="G179" s="3">
        <v>43972</v>
      </c>
      <c r="H179">
        <v>1</v>
      </c>
      <c r="I179" s="2" t="s">
        <v>51</v>
      </c>
      <c r="J179" s="2" t="s">
        <v>13</v>
      </c>
    </row>
    <row r="180" spans="1:10" hidden="1" x14ac:dyDescent="0.35">
      <c r="A180" s="2" t="s">
        <v>240</v>
      </c>
      <c r="B180" s="2" t="s">
        <v>484</v>
      </c>
      <c r="C180" s="2" t="s">
        <v>16</v>
      </c>
      <c r="D180" s="2" t="s">
        <v>66</v>
      </c>
      <c r="E180">
        <v>76303.820000000007</v>
      </c>
      <c r="F180" t="s">
        <v>511</v>
      </c>
      <c r="G180" s="3">
        <v>43458</v>
      </c>
      <c r="H180">
        <v>1</v>
      </c>
      <c r="I180" s="2" t="s">
        <v>25</v>
      </c>
      <c r="J180" s="2" t="s">
        <v>27</v>
      </c>
    </row>
    <row r="181" spans="1:10" hidden="1" x14ac:dyDescent="0.35">
      <c r="A181" s="2" t="s">
        <v>308</v>
      </c>
      <c r="B181" s="2" t="s">
        <v>309</v>
      </c>
      <c r="C181" s="2" t="s">
        <v>16</v>
      </c>
      <c r="D181" s="2" t="s">
        <v>30</v>
      </c>
      <c r="E181">
        <v>58861.19</v>
      </c>
      <c r="F181" t="s">
        <v>511</v>
      </c>
      <c r="G181" s="3">
        <v>43654</v>
      </c>
      <c r="H181">
        <v>1</v>
      </c>
      <c r="I181" s="2" t="s">
        <v>12</v>
      </c>
      <c r="J181" s="2" t="s">
        <v>48</v>
      </c>
    </row>
    <row r="182" spans="1:10" hidden="1" x14ac:dyDescent="0.35">
      <c r="A182" s="2" t="s">
        <v>310</v>
      </c>
      <c r="B182" s="2" t="s">
        <v>311</v>
      </c>
      <c r="C182" s="2" t="s">
        <v>16</v>
      </c>
      <c r="D182" s="2" t="s">
        <v>24</v>
      </c>
      <c r="E182">
        <v>58744.17</v>
      </c>
      <c r="F182" t="s">
        <v>511</v>
      </c>
      <c r="G182" s="3">
        <v>43171</v>
      </c>
      <c r="H182">
        <v>1</v>
      </c>
      <c r="I182" s="2" t="s">
        <v>51</v>
      </c>
      <c r="J182" s="2" t="s">
        <v>48</v>
      </c>
    </row>
    <row r="183" spans="1:10" hidden="1" x14ac:dyDescent="0.35">
      <c r="A183" s="2" t="s">
        <v>312</v>
      </c>
      <c r="B183" s="2" t="s">
        <v>313</v>
      </c>
      <c r="C183" s="2" t="s">
        <v>16</v>
      </c>
      <c r="D183" s="2" t="s">
        <v>63</v>
      </c>
      <c r="E183">
        <v>73488.679999999993</v>
      </c>
      <c r="F183" t="s">
        <v>511</v>
      </c>
      <c r="G183" s="3">
        <v>43570</v>
      </c>
      <c r="H183">
        <v>1</v>
      </c>
      <c r="I183" s="2" t="s">
        <v>25</v>
      </c>
      <c r="J183" s="2" t="s">
        <v>18</v>
      </c>
    </row>
    <row r="184" spans="1:10" hidden="1" x14ac:dyDescent="0.35">
      <c r="A184" s="2" t="s">
        <v>314</v>
      </c>
      <c r="B184" s="2" t="s">
        <v>315</v>
      </c>
      <c r="C184" s="2" t="s">
        <v>16</v>
      </c>
      <c r="D184" s="2" t="s">
        <v>63</v>
      </c>
      <c r="E184">
        <v>92704.48</v>
      </c>
      <c r="F184" t="s">
        <v>511</v>
      </c>
      <c r="G184" s="3">
        <v>43430</v>
      </c>
      <c r="H184">
        <v>1</v>
      </c>
      <c r="I184" s="2" t="s">
        <v>25</v>
      </c>
      <c r="J184" s="2" t="s">
        <v>48</v>
      </c>
    </row>
    <row r="185" spans="1:10" hidden="1" x14ac:dyDescent="0.35">
      <c r="A185" s="2" t="s">
        <v>316</v>
      </c>
      <c r="B185" s="2" t="s">
        <v>485</v>
      </c>
      <c r="C185" s="2" t="s">
        <v>11</v>
      </c>
      <c r="D185" s="2" t="s">
        <v>30</v>
      </c>
      <c r="E185">
        <v>78443.78</v>
      </c>
      <c r="F185" t="s">
        <v>511</v>
      </c>
      <c r="G185" s="3">
        <v>43599</v>
      </c>
      <c r="H185">
        <v>1</v>
      </c>
      <c r="I185" s="2" t="s">
        <v>25</v>
      </c>
      <c r="J185" s="2" t="s">
        <v>27</v>
      </c>
    </row>
    <row r="186" spans="1:10" hidden="1" x14ac:dyDescent="0.35">
      <c r="A186" s="2" t="s">
        <v>317</v>
      </c>
      <c r="B186" s="2" t="s">
        <v>318</v>
      </c>
      <c r="C186" s="2" t="s">
        <v>16</v>
      </c>
      <c r="D186" s="2" t="s">
        <v>30</v>
      </c>
      <c r="E186">
        <v>97105.19</v>
      </c>
      <c r="F186" t="s">
        <v>511</v>
      </c>
      <c r="G186" s="3">
        <v>44425</v>
      </c>
      <c r="H186">
        <v>1</v>
      </c>
      <c r="I186" s="2" t="s">
        <v>12</v>
      </c>
      <c r="J186" s="2" t="s">
        <v>48</v>
      </c>
    </row>
    <row r="187" spans="1:10" x14ac:dyDescent="0.35">
      <c r="A187" s="2" t="s">
        <v>319</v>
      </c>
      <c r="B187" s="2" t="s">
        <v>320</v>
      </c>
      <c r="C187" s="2" t="s">
        <v>16</v>
      </c>
      <c r="D187" s="2" t="s">
        <v>21</v>
      </c>
      <c r="E187">
        <v>109163.39</v>
      </c>
      <c r="F187" t="s">
        <v>510</v>
      </c>
      <c r="G187" s="3">
        <v>44019</v>
      </c>
      <c r="H187">
        <v>0.8</v>
      </c>
      <c r="I187" s="2" t="s">
        <v>12</v>
      </c>
      <c r="J187" s="2" t="s">
        <v>18</v>
      </c>
    </row>
    <row r="188" spans="1:10" hidden="1" x14ac:dyDescent="0.35">
      <c r="A188" s="2" t="s">
        <v>321</v>
      </c>
      <c r="B188" s="2" t="s">
        <v>322</v>
      </c>
      <c r="C188" s="2" t="s">
        <v>11</v>
      </c>
      <c r="D188" s="2" t="s">
        <v>36</v>
      </c>
      <c r="E188">
        <v>31816.57</v>
      </c>
      <c r="F188" t="s">
        <v>513</v>
      </c>
      <c r="G188" s="3">
        <v>43497</v>
      </c>
      <c r="H188">
        <v>0.3</v>
      </c>
      <c r="I188" s="2" t="s">
        <v>25</v>
      </c>
      <c r="J188" s="2" t="s">
        <v>13</v>
      </c>
    </row>
    <row r="189" spans="1:10" x14ac:dyDescent="0.35">
      <c r="A189" s="2" t="s">
        <v>323</v>
      </c>
      <c r="B189" s="2" t="s">
        <v>324</v>
      </c>
      <c r="C189" s="2" t="s">
        <v>16</v>
      </c>
      <c r="D189" s="2" t="s">
        <v>30</v>
      </c>
      <c r="E189">
        <v>118442.54</v>
      </c>
      <c r="F189" t="s">
        <v>510</v>
      </c>
      <c r="G189" s="3">
        <v>44193</v>
      </c>
      <c r="H189">
        <v>1</v>
      </c>
      <c r="I189" s="2" t="s">
        <v>12</v>
      </c>
      <c r="J189" s="2" t="s">
        <v>52</v>
      </c>
    </row>
    <row r="190" spans="1:10" hidden="1" x14ac:dyDescent="0.35">
      <c r="A190" s="2" t="s">
        <v>325</v>
      </c>
      <c r="B190" s="2" t="s">
        <v>326</v>
      </c>
      <c r="C190" s="2" t="s">
        <v>16</v>
      </c>
      <c r="D190" s="2" t="s">
        <v>24</v>
      </c>
      <c r="E190">
        <v>84745.93</v>
      </c>
      <c r="F190" t="s">
        <v>511</v>
      </c>
      <c r="G190" s="3">
        <v>43707</v>
      </c>
      <c r="H190">
        <v>1</v>
      </c>
      <c r="I190" s="2" t="s">
        <v>12</v>
      </c>
      <c r="J190" s="2" t="s">
        <v>31</v>
      </c>
    </row>
    <row r="191" spans="1:10" hidden="1" x14ac:dyDescent="0.35">
      <c r="A191" s="2" t="s">
        <v>102</v>
      </c>
      <c r="B191" s="2" t="s">
        <v>103</v>
      </c>
      <c r="C191" s="2" t="s">
        <v>16</v>
      </c>
      <c r="D191" s="2" t="s">
        <v>66</v>
      </c>
      <c r="E191">
        <v>69163.39</v>
      </c>
      <c r="F191" t="s">
        <v>511</v>
      </c>
      <c r="G191" s="3">
        <v>43397</v>
      </c>
      <c r="H191">
        <v>1</v>
      </c>
      <c r="I191" s="2" t="s">
        <v>12</v>
      </c>
      <c r="J191" s="2" t="s">
        <v>13</v>
      </c>
    </row>
    <row r="192" spans="1:10" hidden="1" x14ac:dyDescent="0.35">
      <c r="A192" s="2" t="s">
        <v>283</v>
      </c>
      <c r="B192" s="2" t="s">
        <v>284</v>
      </c>
      <c r="C192" s="2" t="s">
        <v>16</v>
      </c>
      <c r="D192" s="2" t="s">
        <v>69</v>
      </c>
      <c r="E192">
        <v>84598.88</v>
      </c>
      <c r="F192" t="s">
        <v>511</v>
      </c>
      <c r="G192" s="3">
        <v>44116</v>
      </c>
      <c r="H192">
        <v>1</v>
      </c>
      <c r="I192" s="2" t="s">
        <v>25</v>
      </c>
      <c r="J192" s="2" t="s">
        <v>18</v>
      </c>
    </row>
    <row r="193" spans="1:10" hidden="1" x14ac:dyDescent="0.35">
      <c r="A193" s="2" t="s">
        <v>327</v>
      </c>
      <c r="B193" s="2" t="s">
        <v>328</v>
      </c>
      <c r="C193" s="2" t="s">
        <v>16</v>
      </c>
      <c r="D193" s="2" t="s">
        <v>80</v>
      </c>
      <c r="E193">
        <v>68795.48</v>
      </c>
      <c r="F193" t="s">
        <v>511</v>
      </c>
      <c r="G193" s="3">
        <v>44277</v>
      </c>
      <c r="H193">
        <v>0.2</v>
      </c>
      <c r="I193" s="2" t="s">
        <v>12</v>
      </c>
      <c r="J193" s="2" t="s">
        <v>13</v>
      </c>
    </row>
    <row r="194" spans="1:10" hidden="1" x14ac:dyDescent="0.35">
      <c r="A194" s="2" t="s">
        <v>329</v>
      </c>
      <c r="B194" s="2" t="s">
        <v>330</v>
      </c>
      <c r="C194" s="2" t="s">
        <v>16</v>
      </c>
      <c r="D194" s="2" t="s">
        <v>21</v>
      </c>
      <c r="E194">
        <v>32269.91</v>
      </c>
      <c r="F194" t="s">
        <v>513</v>
      </c>
      <c r="G194" s="3">
        <v>43346</v>
      </c>
      <c r="H194">
        <v>1</v>
      </c>
      <c r="I194" s="2" t="s">
        <v>12</v>
      </c>
      <c r="J194" s="2" t="s">
        <v>13</v>
      </c>
    </row>
    <row r="195" spans="1:10" hidden="1" x14ac:dyDescent="0.35">
      <c r="A195" s="2" t="s">
        <v>331</v>
      </c>
      <c r="B195" s="2" t="s">
        <v>332</v>
      </c>
      <c r="C195" s="2" t="s">
        <v>11</v>
      </c>
      <c r="D195" s="2" t="s">
        <v>39</v>
      </c>
      <c r="E195">
        <v>78705.929999999993</v>
      </c>
      <c r="F195" t="s">
        <v>511</v>
      </c>
      <c r="G195" s="3">
        <v>43409</v>
      </c>
      <c r="H195">
        <v>1</v>
      </c>
      <c r="I195" s="2" t="s">
        <v>25</v>
      </c>
      <c r="J195" s="2" t="s">
        <v>18</v>
      </c>
    </row>
    <row r="196" spans="1:10" hidden="1" x14ac:dyDescent="0.35">
      <c r="A196" s="2" t="s">
        <v>333</v>
      </c>
      <c r="B196" s="2" t="s">
        <v>334</v>
      </c>
      <c r="C196" s="2" t="s">
        <v>11</v>
      </c>
      <c r="D196" s="2" t="s">
        <v>36</v>
      </c>
      <c r="E196">
        <v>53535.62</v>
      </c>
      <c r="F196" t="s">
        <v>511</v>
      </c>
      <c r="G196" s="3">
        <v>44110</v>
      </c>
      <c r="H196">
        <v>0.5</v>
      </c>
      <c r="I196" s="2" t="s">
        <v>25</v>
      </c>
      <c r="J196" s="2" t="s">
        <v>18</v>
      </c>
    </row>
    <row r="197" spans="1:10" hidden="1" x14ac:dyDescent="0.35">
      <c r="A197" s="2" t="s">
        <v>335</v>
      </c>
      <c r="B197" s="2" t="s">
        <v>336</v>
      </c>
      <c r="C197" s="2" t="s">
        <v>16</v>
      </c>
      <c r="D197" s="2" t="s">
        <v>69</v>
      </c>
      <c r="E197">
        <v>41934.71</v>
      </c>
      <c r="F197" t="s">
        <v>513</v>
      </c>
      <c r="G197" s="3">
        <v>43780</v>
      </c>
      <c r="H197">
        <v>1</v>
      </c>
      <c r="I197" s="2" t="s">
        <v>12</v>
      </c>
      <c r="J197" s="2" t="s">
        <v>13</v>
      </c>
    </row>
    <row r="198" spans="1:10" hidden="1" x14ac:dyDescent="0.35">
      <c r="A198" s="2" t="s">
        <v>337</v>
      </c>
      <c r="B198" s="2" t="s">
        <v>338</v>
      </c>
      <c r="C198" s="2" t="s">
        <v>16</v>
      </c>
      <c r="D198" s="2" t="s">
        <v>80</v>
      </c>
      <c r="E198">
        <v>91929.69</v>
      </c>
      <c r="F198" t="s">
        <v>511</v>
      </c>
      <c r="G198" s="3">
        <v>44085</v>
      </c>
      <c r="H198">
        <v>1</v>
      </c>
      <c r="I198" s="2" t="s">
        <v>25</v>
      </c>
      <c r="J198" s="2" t="s">
        <v>13</v>
      </c>
    </row>
    <row r="199" spans="1:10" hidden="1" x14ac:dyDescent="0.35">
      <c r="A199" s="2" t="s">
        <v>339</v>
      </c>
      <c r="B199" s="2" t="s">
        <v>340</v>
      </c>
      <c r="C199" s="2" t="s">
        <v>11</v>
      </c>
      <c r="D199" s="2" t="s">
        <v>39</v>
      </c>
      <c r="E199">
        <v>62281.24</v>
      </c>
      <c r="F199" t="s">
        <v>511</v>
      </c>
      <c r="G199" s="3">
        <v>43272</v>
      </c>
      <c r="H199">
        <v>1</v>
      </c>
      <c r="I199" s="2" t="s">
        <v>12</v>
      </c>
      <c r="J199" s="2" t="s">
        <v>13</v>
      </c>
    </row>
    <row r="200" spans="1:10" hidden="1" x14ac:dyDescent="0.35">
      <c r="A200" s="2" t="s">
        <v>341</v>
      </c>
      <c r="B200" s="2" t="s">
        <v>342</v>
      </c>
      <c r="C200" s="2" t="s">
        <v>11</v>
      </c>
      <c r="D200" s="2" t="s">
        <v>66</v>
      </c>
      <c r="E200">
        <v>57925.91</v>
      </c>
      <c r="F200" t="s">
        <v>511</v>
      </c>
      <c r="G200" s="3">
        <v>43572</v>
      </c>
      <c r="H200">
        <v>0.5</v>
      </c>
      <c r="I200" s="2" t="s">
        <v>12</v>
      </c>
      <c r="J200" s="2" t="s">
        <v>31</v>
      </c>
    </row>
    <row r="201" spans="1:10" hidden="1" x14ac:dyDescent="0.35">
      <c r="A201" s="2" t="s">
        <v>343</v>
      </c>
      <c r="B201" s="2" t="s">
        <v>344</v>
      </c>
      <c r="C201" s="2" t="s">
        <v>11</v>
      </c>
      <c r="D201" s="2" t="s">
        <v>30</v>
      </c>
      <c r="E201">
        <v>82239.53</v>
      </c>
      <c r="F201" t="s">
        <v>511</v>
      </c>
      <c r="G201" s="3">
        <v>43846</v>
      </c>
      <c r="H201">
        <v>1</v>
      </c>
      <c r="I201" s="2" t="s">
        <v>51</v>
      </c>
      <c r="J201" s="2" t="s">
        <v>48</v>
      </c>
    </row>
    <row r="202" spans="1:10" hidden="1" x14ac:dyDescent="0.35">
      <c r="A202" s="2" t="s">
        <v>345</v>
      </c>
      <c r="B202" s="2" t="s">
        <v>346</v>
      </c>
      <c r="C202" s="2" t="s">
        <v>11</v>
      </c>
      <c r="D202" s="2" t="s">
        <v>30</v>
      </c>
      <c r="E202">
        <v>53184.02</v>
      </c>
      <c r="F202" t="s">
        <v>511</v>
      </c>
      <c r="G202" s="3">
        <v>43180</v>
      </c>
      <c r="H202">
        <v>1</v>
      </c>
      <c r="I202" s="2" t="s">
        <v>25</v>
      </c>
      <c r="J202" s="2" t="s">
        <v>13</v>
      </c>
    </row>
    <row r="203" spans="1:10" hidden="1" x14ac:dyDescent="0.35">
      <c r="A203" s="2" t="s">
        <v>347</v>
      </c>
      <c r="B203" s="2" t="s">
        <v>486</v>
      </c>
      <c r="C203" s="2" t="s">
        <v>11</v>
      </c>
      <c r="D203" s="2" t="s">
        <v>66</v>
      </c>
      <c r="E203">
        <v>35936.31</v>
      </c>
      <c r="F203" t="s">
        <v>513</v>
      </c>
      <c r="G203" s="3">
        <v>43241</v>
      </c>
      <c r="H203">
        <v>1</v>
      </c>
      <c r="I203" s="2" t="s">
        <v>12</v>
      </c>
      <c r="J203" s="2" t="s">
        <v>56</v>
      </c>
    </row>
    <row r="204" spans="1:10" hidden="1" x14ac:dyDescent="0.35">
      <c r="A204" s="2" t="s">
        <v>348</v>
      </c>
      <c r="B204" s="2" t="s">
        <v>349</v>
      </c>
      <c r="C204" s="2" t="s">
        <v>16</v>
      </c>
      <c r="D204" s="2" t="s">
        <v>21</v>
      </c>
      <c r="E204">
        <v>28305.08</v>
      </c>
      <c r="F204" t="s">
        <v>513</v>
      </c>
      <c r="G204" s="3">
        <v>43754</v>
      </c>
      <c r="H204">
        <v>1</v>
      </c>
      <c r="I204" s="2" t="s">
        <v>12</v>
      </c>
      <c r="J204" s="2" t="s">
        <v>13</v>
      </c>
    </row>
    <row r="205" spans="1:10" hidden="1" x14ac:dyDescent="0.35">
      <c r="A205" s="2" t="s">
        <v>350</v>
      </c>
      <c r="B205" s="2" t="s">
        <v>351</v>
      </c>
      <c r="C205" s="2" t="s">
        <v>11</v>
      </c>
      <c r="D205" s="2" t="s">
        <v>85</v>
      </c>
      <c r="E205">
        <v>29774.76</v>
      </c>
      <c r="F205" t="s">
        <v>513</v>
      </c>
      <c r="G205" s="3">
        <v>44105</v>
      </c>
      <c r="H205">
        <v>1</v>
      </c>
      <c r="I205" s="2" t="s">
        <v>12</v>
      </c>
      <c r="J205" s="2" t="s">
        <v>31</v>
      </c>
    </row>
    <row r="206" spans="1:10" x14ac:dyDescent="0.35">
      <c r="A206" s="2" t="s">
        <v>352</v>
      </c>
      <c r="B206" s="2" t="s">
        <v>487</v>
      </c>
      <c r="C206" s="2" t="s">
        <v>11</v>
      </c>
      <c r="D206" s="2" t="s">
        <v>66</v>
      </c>
      <c r="E206">
        <v>102515.81</v>
      </c>
      <c r="F206" t="s">
        <v>510</v>
      </c>
      <c r="G206" s="3">
        <v>43902</v>
      </c>
      <c r="H206">
        <v>1</v>
      </c>
      <c r="I206" s="2" t="s">
        <v>25</v>
      </c>
      <c r="J206" s="2" t="s">
        <v>56</v>
      </c>
    </row>
    <row r="207" spans="1:10" hidden="1" x14ac:dyDescent="0.35">
      <c r="A207" s="2" t="s">
        <v>147</v>
      </c>
      <c r="B207" s="2" t="s">
        <v>148</v>
      </c>
      <c r="C207" s="2" t="s">
        <v>512</v>
      </c>
      <c r="D207" s="2" t="s">
        <v>63</v>
      </c>
      <c r="E207">
        <v>99448.78</v>
      </c>
      <c r="F207" t="s">
        <v>511</v>
      </c>
      <c r="G207" s="3">
        <v>43473</v>
      </c>
      <c r="H207">
        <v>1</v>
      </c>
      <c r="I207" s="2" t="s">
        <v>25</v>
      </c>
      <c r="J207" s="2" t="s">
        <v>31</v>
      </c>
    </row>
    <row r="208" spans="1:10" hidden="1" x14ac:dyDescent="0.35">
      <c r="A208" s="2" t="s">
        <v>327</v>
      </c>
      <c r="B208" s="2" t="s">
        <v>328</v>
      </c>
      <c r="C208" s="2" t="s">
        <v>16</v>
      </c>
      <c r="D208" s="2" t="s">
        <v>80</v>
      </c>
      <c r="E208">
        <v>68795.48</v>
      </c>
      <c r="F208" t="s">
        <v>511</v>
      </c>
      <c r="G208" s="3">
        <v>44277</v>
      </c>
      <c r="H208">
        <v>0.2</v>
      </c>
      <c r="I208" s="2" t="s">
        <v>12</v>
      </c>
      <c r="J208" s="2" t="s">
        <v>13</v>
      </c>
    </row>
    <row r="209" spans="1:10" hidden="1" x14ac:dyDescent="0.35">
      <c r="A209" s="2" t="s">
        <v>187</v>
      </c>
      <c r="B209" s="2" t="s">
        <v>188</v>
      </c>
      <c r="C209" s="2" t="s">
        <v>16</v>
      </c>
      <c r="D209" s="2" t="s">
        <v>39</v>
      </c>
      <c r="E209">
        <v>99683.67</v>
      </c>
      <c r="F209" t="s">
        <v>511</v>
      </c>
      <c r="G209" s="3">
        <v>43500</v>
      </c>
      <c r="H209">
        <v>1</v>
      </c>
      <c r="I209" s="2" t="s">
        <v>25</v>
      </c>
      <c r="J209" s="2" t="s">
        <v>18</v>
      </c>
    </row>
    <row r="210" spans="1:10" hidden="1" x14ac:dyDescent="0.35">
      <c r="A210" s="2" t="s">
        <v>353</v>
      </c>
      <c r="B210" s="2" t="s">
        <v>354</v>
      </c>
      <c r="C210" s="2" t="s">
        <v>11</v>
      </c>
      <c r="D210" s="2" t="s">
        <v>66</v>
      </c>
      <c r="E210">
        <v>38825.18</v>
      </c>
      <c r="F210" t="s">
        <v>513</v>
      </c>
      <c r="G210" s="3">
        <v>43696</v>
      </c>
      <c r="H210">
        <v>1</v>
      </c>
      <c r="I210" s="2" t="s">
        <v>51</v>
      </c>
      <c r="J210" s="2" t="s">
        <v>13</v>
      </c>
    </row>
    <row r="211" spans="1:10" hidden="1" x14ac:dyDescent="0.35">
      <c r="A211" s="2" t="s">
        <v>355</v>
      </c>
      <c r="B211" s="2" t="s">
        <v>488</v>
      </c>
      <c r="C211" s="2" t="s">
        <v>16</v>
      </c>
      <c r="D211" s="2" t="s">
        <v>21</v>
      </c>
      <c r="E211">
        <v>71229.42</v>
      </c>
      <c r="F211" t="s">
        <v>511</v>
      </c>
      <c r="G211" s="3">
        <v>44166</v>
      </c>
      <c r="H211">
        <v>1</v>
      </c>
      <c r="I211" s="2" t="s">
        <v>12</v>
      </c>
      <c r="J211" s="2" t="s">
        <v>27</v>
      </c>
    </row>
    <row r="212" spans="1:10" hidden="1" x14ac:dyDescent="0.35">
      <c r="A212" s="2" t="s">
        <v>356</v>
      </c>
      <c r="B212" s="2" t="s">
        <v>174</v>
      </c>
      <c r="C212" s="2" t="s">
        <v>16</v>
      </c>
      <c r="D212" s="2" t="s">
        <v>17</v>
      </c>
      <c r="E212">
        <v>80695.740000000005</v>
      </c>
      <c r="F212" t="s">
        <v>511</v>
      </c>
      <c r="G212" s="3">
        <v>43360</v>
      </c>
      <c r="H212">
        <v>1</v>
      </c>
      <c r="I212" s="2" t="s">
        <v>12</v>
      </c>
      <c r="J212" s="2" t="s">
        <v>48</v>
      </c>
    </row>
    <row r="213" spans="1:10" hidden="1" x14ac:dyDescent="0.35">
      <c r="A213" s="2" t="s">
        <v>357</v>
      </c>
      <c r="B213" s="2" t="s">
        <v>358</v>
      </c>
      <c r="C213" s="2" t="s">
        <v>16</v>
      </c>
      <c r="D213" s="2" t="s">
        <v>80</v>
      </c>
      <c r="E213">
        <v>72502.61</v>
      </c>
      <c r="F213" t="s">
        <v>511</v>
      </c>
      <c r="G213" s="3">
        <v>44235</v>
      </c>
      <c r="H213">
        <v>1</v>
      </c>
      <c r="I213" s="2" t="s">
        <v>12</v>
      </c>
      <c r="J213" s="2" t="s">
        <v>31</v>
      </c>
    </row>
    <row r="214" spans="1:10" hidden="1" x14ac:dyDescent="0.35">
      <c r="A214" s="2" t="s">
        <v>359</v>
      </c>
      <c r="B214" s="2" t="s">
        <v>360</v>
      </c>
      <c r="C214" s="2" t="s">
        <v>16</v>
      </c>
      <c r="D214" s="2" t="s">
        <v>80</v>
      </c>
      <c r="E214">
        <v>68197.899999999994</v>
      </c>
      <c r="F214" t="s">
        <v>511</v>
      </c>
      <c r="G214" s="3">
        <v>44119</v>
      </c>
      <c r="H214">
        <v>1</v>
      </c>
      <c r="I214" s="2" t="s">
        <v>12</v>
      </c>
      <c r="J214" s="2" t="s">
        <v>52</v>
      </c>
    </row>
    <row r="215" spans="1:10" hidden="1" x14ac:dyDescent="0.35">
      <c r="A215" s="2" t="s">
        <v>361</v>
      </c>
      <c r="B215" s="2" t="s">
        <v>362</v>
      </c>
      <c r="C215" s="2" t="s">
        <v>11</v>
      </c>
      <c r="D215" s="2" t="s">
        <v>80</v>
      </c>
      <c r="E215">
        <v>89960.6</v>
      </c>
      <c r="F215" t="s">
        <v>511</v>
      </c>
      <c r="G215" s="3">
        <v>43515</v>
      </c>
      <c r="H215">
        <v>1</v>
      </c>
      <c r="I215" s="2" t="s">
        <v>25</v>
      </c>
      <c r="J215" s="2" t="s">
        <v>52</v>
      </c>
    </row>
    <row r="216" spans="1:10" hidden="1" x14ac:dyDescent="0.35">
      <c r="A216" s="2" t="s">
        <v>276</v>
      </c>
      <c r="B216" s="2" t="s">
        <v>489</v>
      </c>
      <c r="C216" s="2" t="s">
        <v>11</v>
      </c>
      <c r="D216" s="2" t="s">
        <v>85</v>
      </c>
      <c r="E216">
        <v>28481.16</v>
      </c>
      <c r="F216" t="s">
        <v>513</v>
      </c>
      <c r="G216" s="3">
        <v>43916</v>
      </c>
      <c r="H216">
        <v>1</v>
      </c>
      <c r="I216" s="2" t="s">
        <v>12</v>
      </c>
      <c r="J216" s="2" t="s">
        <v>27</v>
      </c>
    </row>
    <row r="217" spans="1:10" x14ac:dyDescent="0.35">
      <c r="A217" s="2" t="s">
        <v>126</v>
      </c>
      <c r="B217" s="2" t="s">
        <v>490</v>
      </c>
      <c r="C217" s="2" t="s">
        <v>16</v>
      </c>
      <c r="D217" s="2" t="s">
        <v>24</v>
      </c>
      <c r="E217">
        <v>116767.63</v>
      </c>
      <c r="F217" t="s">
        <v>510</v>
      </c>
      <c r="G217" s="3">
        <v>43949</v>
      </c>
      <c r="H217">
        <v>0.4</v>
      </c>
      <c r="I217" s="2" t="s">
        <v>51</v>
      </c>
      <c r="J217" s="2" t="s">
        <v>56</v>
      </c>
    </row>
    <row r="218" spans="1:10" hidden="1" x14ac:dyDescent="0.35">
      <c r="A218" s="2" t="s">
        <v>365</v>
      </c>
      <c r="B218" s="2" t="s">
        <v>366</v>
      </c>
      <c r="C218" s="2" t="s">
        <v>11</v>
      </c>
      <c r="D218" s="2" t="s">
        <v>80</v>
      </c>
      <c r="E218">
        <v>80360.41</v>
      </c>
      <c r="F218" t="s">
        <v>511</v>
      </c>
      <c r="G218" s="3">
        <v>44167</v>
      </c>
      <c r="H218">
        <v>1</v>
      </c>
      <c r="I218" s="2" t="s">
        <v>12</v>
      </c>
      <c r="J218" s="2" t="s">
        <v>13</v>
      </c>
    </row>
    <row r="219" spans="1:10" hidden="1" x14ac:dyDescent="0.35">
      <c r="A219" s="2" t="s">
        <v>367</v>
      </c>
      <c r="B219" s="2" t="s">
        <v>368</v>
      </c>
      <c r="C219" s="2" t="s">
        <v>16</v>
      </c>
      <c r="D219" s="2" t="s">
        <v>69</v>
      </c>
      <c r="E219">
        <v>77045.440000000002</v>
      </c>
      <c r="F219" t="s">
        <v>511</v>
      </c>
      <c r="G219" s="3">
        <v>43636</v>
      </c>
      <c r="H219">
        <v>1</v>
      </c>
      <c r="I219" s="2" t="s">
        <v>12</v>
      </c>
      <c r="J219" s="2" t="s">
        <v>13</v>
      </c>
    </row>
    <row r="220" spans="1:10" hidden="1" x14ac:dyDescent="0.35">
      <c r="A220" s="2" t="s">
        <v>369</v>
      </c>
      <c r="B220" s="2" t="s">
        <v>370</v>
      </c>
      <c r="C220" s="2" t="s">
        <v>16</v>
      </c>
      <c r="D220" s="2" t="s">
        <v>24</v>
      </c>
      <c r="E220">
        <v>96135.75</v>
      </c>
      <c r="F220" t="s">
        <v>511</v>
      </c>
      <c r="G220" s="3">
        <v>44025</v>
      </c>
      <c r="H220">
        <v>0.3</v>
      </c>
      <c r="I220" s="2" t="s">
        <v>12</v>
      </c>
      <c r="J220" s="2" t="s">
        <v>31</v>
      </c>
    </row>
    <row r="221" spans="1:10" x14ac:dyDescent="0.35">
      <c r="A221" s="2" t="s">
        <v>371</v>
      </c>
      <c r="B221" s="2" t="s">
        <v>372</v>
      </c>
      <c r="C221" s="2" t="s">
        <v>16</v>
      </c>
      <c r="D221" s="2" t="s">
        <v>69</v>
      </c>
      <c r="E221">
        <v>102129.37</v>
      </c>
      <c r="F221" t="s">
        <v>510</v>
      </c>
      <c r="G221" s="3">
        <v>44396</v>
      </c>
      <c r="H221">
        <v>1</v>
      </c>
      <c r="I221" s="2" t="s">
        <v>12</v>
      </c>
      <c r="J221" s="2" t="s">
        <v>48</v>
      </c>
    </row>
    <row r="222" spans="1:10" hidden="1" x14ac:dyDescent="0.35">
      <c r="A222" s="2" t="s">
        <v>373</v>
      </c>
      <c r="B222" s="2" t="s">
        <v>374</v>
      </c>
      <c r="C222" s="2" t="s">
        <v>16</v>
      </c>
      <c r="D222" s="2" t="s">
        <v>24</v>
      </c>
      <c r="E222">
        <v>99965.97</v>
      </c>
      <c r="F222" t="s">
        <v>511</v>
      </c>
      <c r="G222" s="3">
        <v>43133</v>
      </c>
      <c r="H222">
        <v>1</v>
      </c>
      <c r="I222" s="2" t="s">
        <v>12</v>
      </c>
      <c r="J222" s="2" t="s">
        <v>13</v>
      </c>
    </row>
    <row r="223" spans="1:10" hidden="1" x14ac:dyDescent="0.35">
      <c r="A223" s="2" t="s">
        <v>375</v>
      </c>
      <c r="B223" s="2" t="s">
        <v>376</v>
      </c>
      <c r="C223" s="2" t="s">
        <v>16</v>
      </c>
      <c r="D223" s="2" t="s">
        <v>80</v>
      </c>
      <c r="E223">
        <v>49625.64</v>
      </c>
      <c r="F223" t="s">
        <v>513</v>
      </c>
      <c r="G223" s="3">
        <v>44384</v>
      </c>
      <c r="H223">
        <v>0.5</v>
      </c>
      <c r="I223" s="2" t="s">
        <v>25</v>
      </c>
      <c r="J223" s="2" t="s">
        <v>13</v>
      </c>
    </row>
    <row r="224" spans="1:10" hidden="1" x14ac:dyDescent="0.35">
      <c r="A224" s="2" t="s">
        <v>377</v>
      </c>
      <c r="B224" s="2" t="s">
        <v>378</v>
      </c>
      <c r="C224" s="2" t="s">
        <v>16</v>
      </c>
      <c r="D224" s="2" t="s">
        <v>30</v>
      </c>
      <c r="E224">
        <v>94815.28</v>
      </c>
      <c r="F224" t="s">
        <v>511</v>
      </c>
      <c r="G224" s="3">
        <v>43440</v>
      </c>
      <c r="H224">
        <v>1</v>
      </c>
      <c r="I224" s="2" t="s">
        <v>12</v>
      </c>
      <c r="J224" s="2" t="s">
        <v>18</v>
      </c>
    </row>
    <row r="225" spans="1:10" hidden="1" x14ac:dyDescent="0.35">
      <c r="A225" s="2" t="s">
        <v>379</v>
      </c>
      <c r="B225" s="2" t="s">
        <v>491</v>
      </c>
      <c r="C225" s="2" t="s">
        <v>11</v>
      </c>
      <c r="D225" s="2" t="s">
        <v>33</v>
      </c>
      <c r="E225">
        <v>36714.379999999997</v>
      </c>
      <c r="F225" t="s">
        <v>513</v>
      </c>
      <c r="G225" s="3">
        <v>44175</v>
      </c>
      <c r="H225">
        <v>1</v>
      </c>
      <c r="I225" s="2" t="s">
        <v>12</v>
      </c>
      <c r="J225" s="2" t="s">
        <v>56</v>
      </c>
    </row>
    <row r="226" spans="1:10" hidden="1" x14ac:dyDescent="0.35">
      <c r="A226" s="2" t="s">
        <v>380</v>
      </c>
      <c r="B226" s="2" t="s">
        <v>381</v>
      </c>
      <c r="C226" s="2" t="s">
        <v>16</v>
      </c>
      <c r="D226" s="2" t="s">
        <v>36</v>
      </c>
      <c r="E226">
        <v>67905.8</v>
      </c>
      <c r="F226" t="s">
        <v>511</v>
      </c>
      <c r="G226" s="3">
        <v>44194</v>
      </c>
      <c r="H226">
        <v>1</v>
      </c>
      <c r="I226" s="2" t="s">
        <v>12</v>
      </c>
      <c r="J226" s="2" t="s">
        <v>13</v>
      </c>
    </row>
    <row r="227" spans="1:10" hidden="1" x14ac:dyDescent="0.35">
      <c r="A227" s="2" t="s">
        <v>382</v>
      </c>
      <c r="B227" s="2" t="s">
        <v>383</v>
      </c>
      <c r="C227" s="2" t="s">
        <v>11</v>
      </c>
      <c r="D227" s="2" t="s">
        <v>63</v>
      </c>
      <c r="E227">
        <v>69862.38</v>
      </c>
      <c r="F227" t="s">
        <v>511</v>
      </c>
      <c r="G227" s="3">
        <v>43458</v>
      </c>
      <c r="H227">
        <v>1</v>
      </c>
      <c r="I227" s="2" t="s">
        <v>12</v>
      </c>
      <c r="J227" s="2" t="s">
        <v>31</v>
      </c>
    </row>
    <row r="228" spans="1:10" hidden="1" x14ac:dyDescent="0.35">
      <c r="A228" s="2" t="s">
        <v>236</v>
      </c>
      <c r="B228" s="2" t="s">
        <v>237</v>
      </c>
      <c r="C228" s="2" t="s">
        <v>11</v>
      </c>
      <c r="D228" s="2" t="s">
        <v>66</v>
      </c>
      <c r="E228">
        <v>36547.58</v>
      </c>
      <c r="F228" t="s">
        <v>513</v>
      </c>
      <c r="G228" s="3">
        <v>43416</v>
      </c>
      <c r="H228">
        <v>1</v>
      </c>
      <c r="I228" s="2" t="s">
        <v>12</v>
      </c>
      <c r="J228" s="2" t="s">
        <v>13</v>
      </c>
    </row>
    <row r="229" spans="1:10" x14ac:dyDescent="0.35">
      <c r="A229" s="2" t="s">
        <v>384</v>
      </c>
      <c r="B229" s="2" t="s">
        <v>492</v>
      </c>
      <c r="C229" s="2" t="s">
        <v>11</v>
      </c>
      <c r="D229" s="2" t="s">
        <v>17</v>
      </c>
      <c r="E229">
        <v>106400.02</v>
      </c>
      <c r="F229" t="s">
        <v>510</v>
      </c>
      <c r="G229" s="3">
        <v>44021</v>
      </c>
      <c r="H229">
        <v>1</v>
      </c>
      <c r="I229" s="2" t="s">
        <v>51</v>
      </c>
      <c r="J229" s="2" t="s">
        <v>56</v>
      </c>
    </row>
    <row r="230" spans="1:10" x14ac:dyDescent="0.35">
      <c r="A230" s="2" t="s">
        <v>385</v>
      </c>
      <c r="B230" s="2" t="s">
        <v>386</v>
      </c>
      <c r="C230" s="2" t="s">
        <v>11</v>
      </c>
      <c r="D230" s="2" t="s">
        <v>63</v>
      </c>
      <c r="E230">
        <v>103494.94</v>
      </c>
      <c r="F230" t="s">
        <v>510</v>
      </c>
      <c r="G230" s="3">
        <v>43256</v>
      </c>
      <c r="H230">
        <v>1</v>
      </c>
      <c r="I230" s="2" t="s">
        <v>12</v>
      </c>
      <c r="J230" s="2" t="s">
        <v>13</v>
      </c>
    </row>
    <row r="231" spans="1:10" hidden="1" x14ac:dyDescent="0.35">
      <c r="A231" s="2" t="s">
        <v>288</v>
      </c>
      <c r="B231" s="2" t="s">
        <v>289</v>
      </c>
      <c r="C231" s="2" t="s">
        <v>11</v>
      </c>
      <c r="D231" s="2" t="s">
        <v>69</v>
      </c>
      <c r="E231">
        <v>96753.78</v>
      </c>
      <c r="F231" t="s">
        <v>511</v>
      </c>
      <c r="G231" s="3">
        <v>44494</v>
      </c>
      <c r="H231">
        <v>1</v>
      </c>
      <c r="I231" s="2" t="s">
        <v>12</v>
      </c>
      <c r="J231" s="2" t="s">
        <v>52</v>
      </c>
    </row>
    <row r="232" spans="1:10" hidden="1" x14ac:dyDescent="0.35">
      <c r="A232" s="2" t="s">
        <v>356</v>
      </c>
      <c r="B232" s="2" t="s">
        <v>174</v>
      </c>
      <c r="C232" s="2" t="s">
        <v>16</v>
      </c>
      <c r="D232" s="2" t="s">
        <v>17</v>
      </c>
      <c r="E232">
        <v>80695.740000000005</v>
      </c>
      <c r="F232" t="s">
        <v>511</v>
      </c>
      <c r="G232" s="3">
        <v>43360</v>
      </c>
      <c r="H232">
        <v>1</v>
      </c>
      <c r="I232" s="2" t="s">
        <v>12</v>
      </c>
      <c r="J232" s="2" t="s">
        <v>48</v>
      </c>
    </row>
    <row r="233" spans="1:10" hidden="1" x14ac:dyDescent="0.35">
      <c r="A233" s="2" t="s">
        <v>387</v>
      </c>
      <c r="B233" s="2" t="s">
        <v>493</v>
      </c>
      <c r="C233" s="2" t="s">
        <v>16</v>
      </c>
      <c r="D233" s="2" t="s">
        <v>85</v>
      </c>
      <c r="E233">
        <v>61213.01</v>
      </c>
      <c r="F233" t="s">
        <v>511</v>
      </c>
      <c r="G233" s="3">
        <v>44365</v>
      </c>
      <c r="H233">
        <v>1</v>
      </c>
      <c r="I233" s="2" t="s">
        <v>12</v>
      </c>
      <c r="J233" s="2" t="s">
        <v>56</v>
      </c>
    </row>
    <row r="234" spans="1:10" hidden="1" x14ac:dyDescent="0.35">
      <c r="A234" s="2" t="s">
        <v>388</v>
      </c>
      <c r="B234" s="2" t="s">
        <v>494</v>
      </c>
      <c r="C234" s="2" t="s">
        <v>11</v>
      </c>
      <c r="D234" s="2" t="s">
        <v>39</v>
      </c>
      <c r="E234">
        <v>69709.509999999995</v>
      </c>
      <c r="F234" t="s">
        <v>511</v>
      </c>
      <c r="G234" s="3">
        <v>43472</v>
      </c>
      <c r="H234">
        <v>1</v>
      </c>
      <c r="I234" s="2" t="s">
        <v>12</v>
      </c>
      <c r="J234" s="2" t="s">
        <v>27</v>
      </c>
    </row>
    <row r="235" spans="1:10" hidden="1" x14ac:dyDescent="0.35">
      <c r="A235" s="2" t="s">
        <v>389</v>
      </c>
      <c r="B235" s="2" t="s">
        <v>495</v>
      </c>
      <c r="C235" s="2" t="s">
        <v>16</v>
      </c>
      <c r="D235" s="2" t="s">
        <v>39</v>
      </c>
      <c r="E235">
        <v>46751.7</v>
      </c>
      <c r="F235" t="s">
        <v>513</v>
      </c>
      <c r="G235" s="3">
        <v>43843</v>
      </c>
      <c r="H235">
        <v>1</v>
      </c>
      <c r="I235" s="2" t="s">
        <v>25</v>
      </c>
      <c r="J235" s="2" t="s">
        <v>27</v>
      </c>
    </row>
    <row r="236" spans="1:10" hidden="1" x14ac:dyDescent="0.35">
      <c r="A236" s="2" t="s">
        <v>390</v>
      </c>
      <c r="B236" s="2" t="s">
        <v>496</v>
      </c>
      <c r="C236" s="2" t="s">
        <v>11</v>
      </c>
      <c r="D236" s="2" t="s">
        <v>21</v>
      </c>
      <c r="E236">
        <v>77096.05</v>
      </c>
      <c r="F236" t="s">
        <v>511</v>
      </c>
      <c r="G236" s="3">
        <v>43217</v>
      </c>
      <c r="H236">
        <v>1</v>
      </c>
      <c r="I236" s="2" t="s">
        <v>12</v>
      </c>
      <c r="J236" s="2" t="s">
        <v>56</v>
      </c>
    </row>
    <row r="237" spans="1:10" hidden="1" x14ac:dyDescent="0.35">
      <c r="A237" s="2" t="s">
        <v>115</v>
      </c>
      <c r="B237" s="2" t="s">
        <v>116</v>
      </c>
      <c r="C237" s="2" t="s">
        <v>16</v>
      </c>
      <c r="D237" s="2" t="s">
        <v>80</v>
      </c>
      <c r="E237">
        <v>67818.14</v>
      </c>
      <c r="F237" t="s">
        <v>511</v>
      </c>
      <c r="G237" s="3">
        <v>43406</v>
      </c>
      <c r="H237">
        <v>0.6</v>
      </c>
      <c r="I237" s="2" t="s">
        <v>25</v>
      </c>
      <c r="J237" s="2" t="s">
        <v>13</v>
      </c>
    </row>
    <row r="238" spans="1:10" hidden="1" x14ac:dyDescent="0.35">
      <c r="A238" s="2" t="s">
        <v>391</v>
      </c>
      <c r="B238" s="2" t="s">
        <v>497</v>
      </c>
      <c r="C238" s="2" t="s">
        <v>11</v>
      </c>
      <c r="D238" s="2" t="s">
        <v>80</v>
      </c>
      <c r="E238">
        <v>77743.149999999994</v>
      </c>
      <c r="F238" t="s">
        <v>511</v>
      </c>
      <c r="G238" s="3">
        <v>43920</v>
      </c>
      <c r="H238">
        <v>1</v>
      </c>
      <c r="I238" s="2" t="s">
        <v>12</v>
      </c>
      <c r="J238" s="2" t="s">
        <v>56</v>
      </c>
    </row>
    <row r="239" spans="1:10" hidden="1" x14ac:dyDescent="0.35">
      <c r="A239" s="2" t="s">
        <v>392</v>
      </c>
      <c r="B239" s="2" t="s">
        <v>498</v>
      </c>
      <c r="C239" s="2" t="s">
        <v>11</v>
      </c>
      <c r="D239" s="2" t="s">
        <v>63</v>
      </c>
      <c r="E239">
        <v>48525.71</v>
      </c>
      <c r="F239" t="s">
        <v>513</v>
      </c>
      <c r="G239" s="3">
        <v>43264</v>
      </c>
      <c r="H239">
        <v>1</v>
      </c>
      <c r="I239" s="2" t="s">
        <v>12</v>
      </c>
      <c r="J239" s="2" t="s">
        <v>27</v>
      </c>
    </row>
    <row r="240" spans="1:10" x14ac:dyDescent="0.35">
      <c r="A240" s="2" t="s">
        <v>385</v>
      </c>
      <c r="B240" s="2" t="s">
        <v>386</v>
      </c>
      <c r="C240" s="2" t="s">
        <v>11</v>
      </c>
      <c r="D240" s="2" t="s">
        <v>63</v>
      </c>
      <c r="E240">
        <v>103494.94</v>
      </c>
      <c r="F240" t="s">
        <v>510</v>
      </c>
      <c r="G240" s="3">
        <v>43256</v>
      </c>
      <c r="H240">
        <v>1</v>
      </c>
      <c r="I240" s="2" t="s">
        <v>12</v>
      </c>
      <c r="J240" s="2" t="s">
        <v>13</v>
      </c>
    </row>
    <row r="241" spans="1:10" x14ac:dyDescent="0.35">
      <c r="A241" s="2" t="s">
        <v>384</v>
      </c>
      <c r="B241" s="2" t="s">
        <v>499</v>
      </c>
      <c r="C241" s="2" t="s">
        <v>11</v>
      </c>
      <c r="D241" s="2" t="s">
        <v>17</v>
      </c>
      <c r="E241">
        <v>106400.02</v>
      </c>
      <c r="F241" t="s">
        <v>510</v>
      </c>
      <c r="G241" s="3">
        <v>44021</v>
      </c>
      <c r="H241">
        <v>1</v>
      </c>
      <c r="I241" s="2" t="s">
        <v>51</v>
      </c>
      <c r="J241" s="2" t="s">
        <v>56</v>
      </c>
    </row>
    <row r="242" spans="1:10" hidden="1" x14ac:dyDescent="0.35">
      <c r="A242" s="2" t="s">
        <v>393</v>
      </c>
      <c r="B242" s="2" t="s">
        <v>394</v>
      </c>
      <c r="C242" s="2" t="s">
        <v>11</v>
      </c>
      <c r="D242" s="2" t="s">
        <v>63</v>
      </c>
      <c r="E242">
        <v>65569.36</v>
      </c>
      <c r="F242" t="s">
        <v>511</v>
      </c>
      <c r="G242" s="3">
        <v>43293</v>
      </c>
      <c r="H242">
        <v>1</v>
      </c>
      <c r="I242" s="2" t="s">
        <v>25</v>
      </c>
      <c r="J242" s="2" t="s">
        <v>52</v>
      </c>
    </row>
    <row r="243" spans="1:10" hidden="1" x14ac:dyDescent="0.35">
      <c r="A243" s="2" t="s">
        <v>247</v>
      </c>
      <c r="B243" s="2" t="s">
        <v>500</v>
      </c>
      <c r="C243" s="2" t="s">
        <v>11</v>
      </c>
      <c r="D243" s="2" t="s">
        <v>80</v>
      </c>
      <c r="E243">
        <v>40445.29</v>
      </c>
      <c r="F243" t="s">
        <v>513</v>
      </c>
      <c r="G243" s="3">
        <v>44393</v>
      </c>
      <c r="H243">
        <v>1</v>
      </c>
      <c r="I243" s="2" t="s">
        <v>12</v>
      </c>
      <c r="J243" s="2" t="s">
        <v>56</v>
      </c>
    </row>
    <row r="244" spans="1:10" hidden="1" x14ac:dyDescent="0.35">
      <c r="A244" s="2" t="s">
        <v>363</v>
      </c>
      <c r="B244" s="2" t="s">
        <v>364</v>
      </c>
      <c r="C244" s="2" t="s">
        <v>11</v>
      </c>
      <c r="D244" s="2" t="s">
        <v>30</v>
      </c>
      <c r="E244">
        <v>0</v>
      </c>
      <c r="F244" t="s">
        <v>513</v>
      </c>
      <c r="G244" s="3">
        <v>44207</v>
      </c>
      <c r="H244">
        <v>0.7</v>
      </c>
      <c r="I244" s="2" t="s">
        <v>12</v>
      </c>
      <c r="J244" s="2" t="s">
        <v>18</v>
      </c>
    </row>
    <row r="245" spans="1:10" x14ac:dyDescent="0.35">
      <c r="A245" s="2" t="s">
        <v>395</v>
      </c>
      <c r="B245" s="2" t="s">
        <v>396</v>
      </c>
      <c r="C245" s="2" t="s">
        <v>16</v>
      </c>
      <c r="D245" s="2" t="s">
        <v>30</v>
      </c>
      <c r="E245">
        <v>114772.32</v>
      </c>
      <c r="F245" t="s">
        <v>510</v>
      </c>
      <c r="G245" s="3">
        <v>44251</v>
      </c>
      <c r="H245">
        <v>1</v>
      </c>
      <c r="I245" s="2" t="s">
        <v>12</v>
      </c>
      <c r="J245" s="2" t="s">
        <v>48</v>
      </c>
    </row>
    <row r="246" spans="1:10" hidden="1" x14ac:dyDescent="0.35">
      <c r="A246" s="2" t="s">
        <v>397</v>
      </c>
      <c r="B246" s="2" t="s">
        <v>398</v>
      </c>
      <c r="C246" s="2" t="s">
        <v>16</v>
      </c>
      <c r="D246" s="2" t="s">
        <v>24</v>
      </c>
      <c r="E246">
        <v>56253.81</v>
      </c>
      <c r="F246" t="s">
        <v>511</v>
      </c>
      <c r="G246" s="3">
        <v>44421</v>
      </c>
      <c r="H246">
        <v>1</v>
      </c>
      <c r="I246" s="2" t="s">
        <v>12</v>
      </c>
      <c r="J246" s="2" t="s">
        <v>52</v>
      </c>
    </row>
    <row r="247" spans="1:10" hidden="1" x14ac:dyDescent="0.35">
      <c r="A247" s="2" t="s">
        <v>399</v>
      </c>
      <c r="B247" s="2" t="s">
        <v>501</v>
      </c>
      <c r="C247" s="2" t="s">
        <v>16</v>
      </c>
      <c r="D247" s="2" t="s">
        <v>80</v>
      </c>
      <c r="E247">
        <v>51798.25</v>
      </c>
      <c r="F247" t="s">
        <v>511</v>
      </c>
      <c r="G247" s="3">
        <v>43665</v>
      </c>
      <c r="H247">
        <v>1</v>
      </c>
      <c r="I247" s="2" t="s">
        <v>12</v>
      </c>
      <c r="J247" s="2" t="s">
        <v>27</v>
      </c>
    </row>
    <row r="248" spans="1:10" hidden="1" x14ac:dyDescent="0.35">
      <c r="A248" s="2" t="s">
        <v>400</v>
      </c>
      <c r="B248" s="2" t="s">
        <v>401</v>
      </c>
      <c r="C248" s="2" t="s">
        <v>11</v>
      </c>
      <c r="D248" s="2" t="s">
        <v>63</v>
      </c>
      <c r="E248">
        <v>28329.77</v>
      </c>
      <c r="F248" t="s">
        <v>513</v>
      </c>
      <c r="G248" s="3">
        <v>43402</v>
      </c>
      <c r="H248">
        <v>1</v>
      </c>
      <c r="I248" s="2" t="s">
        <v>12</v>
      </c>
      <c r="J248" s="2" t="s">
        <v>18</v>
      </c>
    </row>
    <row r="249" spans="1:10" hidden="1" x14ac:dyDescent="0.35">
      <c r="A249" s="2" t="s">
        <v>402</v>
      </c>
      <c r="B249" s="2" t="s">
        <v>502</v>
      </c>
      <c r="C249" s="2" t="s">
        <v>16</v>
      </c>
      <c r="D249" s="2" t="s">
        <v>24</v>
      </c>
      <c r="E249">
        <v>93964.3</v>
      </c>
      <c r="F249" t="s">
        <v>511</v>
      </c>
      <c r="G249" s="3">
        <v>44454</v>
      </c>
      <c r="H249">
        <v>0.4</v>
      </c>
      <c r="I249" s="2" t="s">
        <v>25</v>
      </c>
      <c r="J249" s="2" t="s">
        <v>27</v>
      </c>
    </row>
    <row r="250" spans="1:10" hidden="1" x14ac:dyDescent="0.35">
      <c r="A250" s="2" t="s">
        <v>403</v>
      </c>
      <c r="B250" s="2" t="s">
        <v>404</v>
      </c>
      <c r="C250" s="2" t="s">
        <v>11</v>
      </c>
      <c r="D250" s="2" t="s">
        <v>17</v>
      </c>
      <c r="E250">
        <v>90884.32</v>
      </c>
      <c r="F250" t="s">
        <v>511</v>
      </c>
      <c r="G250" s="3">
        <v>44039</v>
      </c>
      <c r="H250">
        <v>0.5</v>
      </c>
      <c r="I250" s="2" t="s">
        <v>12</v>
      </c>
      <c r="J250" s="2" t="s">
        <v>48</v>
      </c>
    </row>
    <row r="251" spans="1:10" hidden="1" x14ac:dyDescent="0.35">
      <c r="A251" s="2" t="s">
        <v>405</v>
      </c>
      <c r="B251" s="2" t="s">
        <v>406</v>
      </c>
      <c r="C251" s="2" t="s">
        <v>11</v>
      </c>
      <c r="D251" s="2" t="s">
        <v>21</v>
      </c>
      <c r="E251">
        <v>84742.86</v>
      </c>
      <c r="F251" t="s">
        <v>511</v>
      </c>
      <c r="G251" s="3">
        <v>44098</v>
      </c>
      <c r="H251">
        <v>1</v>
      </c>
      <c r="I251" s="2" t="s">
        <v>12</v>
      </c>
      <c r="J251" s="2" t="s">
        <v>52</v>
      </c>
    </row>
    <row r="252" spans="1:10" hidden="1" x14ac:dyDescent="0.35">
      <c r="A252" s="2" t="s">
        <v>407</v>
      </c>
      <c r="B252" s="2" t="s">
        <v>408</v>
      </c>
      <c r="C252" s="2" t="s">
        <v>11</v>
      </c>
      <c r="D252" s="2" t="s">
        <v>69</v>
      </c>
      <c r="E252">
        <v>80772.92</v>
      </c>
      <c r="F252" t="s">
        <v>511</v>
      </c>
      <c r="G252" s="3">
        <v>44137</v>
      </c>
      <c r="H252">
        <v>1</v>
      </c>
      <c r="I252" s="2" t="s">
        <v>51</v>
      </c>
      <c r="J252" s="2" t="s">
        <v>13</v>
      </c>
    </row>
    <row r="253" spans="1:10" hidden="1" x14ac:dyDescent="0.35">
      <c r="A253" s="2" t="s">
        <v>409</v>
      </c>
      <c r="B253" s="2" t="s">
        <v>503</v>
      </c>
      <c r="C253" s="2" t="s">
        <v>16</v>
      </c>
      <c r="D253" s="2" t="s">
        <v>63</v>
      </c>
      <c r="E253">
        <v>85264.38</v>
      </c>
      <c r="F253" t="s">
        <v>511</v>
      </c>
      <c r="G253" s="3">
        <v>43220</v>
      </c>
      <c r="H253">
        <v>1</v>
      </c>
      <c r="I253" s="2" t="s">
        <v>12</v>
      </c>
      <c r="J253" s="2" t="s">
        <v>56</v>
      </c>
    </row>
    <row r="254" spans="1:10" x14ac:dyDescent="0.35">
      <c r="A254" s="2" t="s">
        <v>151</v>
      </c>
      <c r="B254" s="2" t="s">
        <v>152</v>
      </c>
      <c r="C254" s="2" t="s">
        <v>11</v>
      </c>
      <c r="D254" s="2" t="s">
        <v>85</v>
      </c>
      <c r="E254">
        <v>113747.56</v>
      </c>
      <c r="F254" t="s">
        <v>510</v>
      </c>
      <c r="G254" s="3">
        <v>44270</v>
      </c>
      <c r="H254">
        <v>0.7</v>
      </c>
      <c r="I254" s="2" t="s">
        <v>51</v>
      </c>
      <c r="J254" s="2" t="s">
        <v>48</v>
      </c>
    </row>
    <row r="255" spans="1:10" hidden="1" x14ac:dyDescent="0.35">
      <c r="A255" s="2" t="s">
        <v>410</v>
      </c>
      <c r="B255" s="2" t="s">
        <v>411</v>
      </c>
      <c r="C255" s="2" t="s">
        <v>16</v>
      </c>
      <c r="D255" s="2" t="s">
        <v>30</v>
      </c>
      <c r="E255">
        <v>78378.2</v>
      </c>
      <c r="F255" t="s">
        <v>511</v>
      </c>
      <c r="G255" s="3">
        <v>43465</v>
      </c>
      <c r="H255">
        <v>0.4</v>
      </c>
      <c r="I255" s="2" t="s">
        <v>12</v>
      </c>
      <c r="J255" s="2" t="s">
        <v>13</v>
      </c>
    </row>
    <row r="256" spans="1:10" hidden="1" x14ac:dyDescent="0.35">
      <c r="A256" s="2" t="s">
        <v>412</v>
      </c>
      <c r="B256" s="2" t="s">
        <v>413</v>
      </c>
      <c r="C256" s="2" t="s">
        <v>11</v>
      </c>
      <c r="D256" s="2" t="s">
        <v>69</v>
      </c>
      <c r="E256">
        <v>91314.75</v>
      </c>
      <c r="F256" t="s">
        <v>511</v>
      </c>
      <c r="G256" s="3">
        <v>43931</v>
      </c>
      <c r="H256">
        <v>1</v>
      </c>
      <c r="I256" s="2" t="s">
        <v>25</v>
      </c>
      <c r="J256" s="2" t="s">
        <v>18</v>
      </c>
    </row>
    <row r="257" spans="1:10" hidden="1" x14ac:dyDescent="0.35">
      <c r="A257" s="2" t="s">
        <v>197</v>
      </c>
      <c r="B257" s="2" t="s">
        <v>504</v>
      </c>
      <c r="C257" s="2" t="s">
        <v>11</v>
      </c>
      <c r="D257" s="2" t="s">
        <v>85</v>
      </c>
      <c r="E257">
        <v>66572.58</v>
      </c>
      <c r="F257" t="s">
        <v>511</v>
      </c>
      <c r="G257" s="3">
        <v>44193</v>
      </c>
      <c r="H257">
        <v>1</v>
      </c>
      <c r="I257" s="2" t="s">
        <v>12</v>
      </c>
      <c r="J257" s="2" t="s">
        <v>56</v>
      </c>
    </row>
    <row r="258" spans="1:10" hidden="1" x14ac:dyDescent="0.35">
      <c r="A258" s="2" t="s">
        <v>414</v>
      </c>
      <c r="B258" s="2" t="s">
        <v>415</v>
      </c>
      <c r="C258" s="2" t="s">
        <v>11</v>
      </c>
      <c r="D258" s="2" t="s">
        <v>33</v>
      </c>
      <c r="E258">
        <v>30077.45</v>
      </c>
      <c r="F258" t="s">
        <v>513</v>
      </c>
      <c r="G258" s="3">
        <v>43474</v>
      </c>
      <c r="H258">
        <v>1</v>
      </c>
      <c r="I258" s="2" t="s">
        <v>12</v>
      </c>
      <c r="J258" s="2" t="s">
        <v>31</v>
      </c>
    </row>
    <row r="259" spans="1:10" hidden="1" x14ac:dyDescent="0.35">
      <c r="A259" s="2" t="s">
        <v>416</v>
      </c>
      <c r="B259" s="2" t="s">
        <v>417</v>
      </c>
      <c r="C259" s="2" t="s">
        <v>512</v>
      </c>
      <c r="D259" s="2" t="s">
        <v>66</v>
      </c>
      <c r="E259">
        <v>98012.63</v>
      </c>
      <c r="F259" t="s">
        <v>511</v>
      </c>
      <c r="G259" s="3">
        <v>43780</v>
      </c>
      <c r="H259">
        <v>1</v>
      </c>
      <c r="I259" s="2" t="s">
        <v>12</v>
      </c>
      <c r="J259" s="2" t="s">
        <v>13</v>
      </c>
    </row>
    <row r="260" spans="1:10" hidden="1" x14ac:dyDescent="0.35">
      <c r="A260" s="2" t="s">
        <v>418</v>
      </c>
      <c r="B260" s="2" t="s">
        <v>138</v>
      </c>
      <c r="C260" s="2" t="s">
        <v>11</v>
      </c>
      <c r="D260" s="2" t="s">
        <v>63</v>
      </c>
      <c r="E260">
        <v>72876.91</v>
      </c>
      <c r="F260" t="s">
        <v>511</v>
      </c>
      <c r="G260" s="3">
        <v>43837</v>
      </c>
      <c r="H260">
        <v>1</v>
      </c>
      <c r="I260" s="2" t="s">
        <v>12</v>
      </c>
      <c r="J260" s="2" t="s">
        <v>13</v>
      </c>
    </row>
    <row r="261" spans="1:10" hidden="1" x14ac:dyDescent="0.35">
      <c r="A261" s="2" t="s">
        <v>419</v>
      </c>
      <c r="B261" s="2" t="s">
        <v>505</v>
      </c>
      <c r="C261" s="2" t="s">
        <v>11</v>
      </c>
      <c r="D261" s="2" t="s">
        <v>30</v>
      </c>
      <c r="E261">
        <v>92943.89</v>
      </c>
      <c r="F261" t="s">
        <v>511</v>
      </c>
      <c r="G261" s="3">
        <v>44510</v>
      </c>
      <c r="H261">
        <v>1</v>
      </c>
      <c r="I261" s="2" t="s">
        <v>12</v>
      </c>
      <c r="J261" s="2" t="s">
        <v>27</v>
      </c>
    </row>
    <row r="262" spans="1:10" hidden="1" x14ac:dyDescent="0.35">
      <c r="A262" s="2" t="s">
        <v>420</v>
      </c>
      <c r="B262" s="2" t="s">
        <v>506</v>
      </c>
      <c r="C262" s="2" t="s">
        <v>16</v>
      </c>
      <c r="D262" s="2" t="s">
        <v>63</v>
      </c>
      <c r="E262">
        <v>29808.07</v>
      </c>
      <c r="F262" t="s">
        <v>513</v>
      </c>
      <c r="G262" s="3">
        <v>43291</v>
      </c>
      <c r="H262">
        <v>0.3</v>
      </c>
      <c r="I262" s="2" t="s">
        <v>51</v>
      </c>
      <c r="J262" s="2" t="s">
        <v>27</v>
      </c>
    </row>
    <row r="263" spans="1:10" hidden="1" x14ac:dyDescent="0.35">
      <c r="A263" s="2" t="s">
        <v>421</v>
      </c>
      <c r="B263" s="2" t="s">
        <v>422</v>
      </c>
      <c r="C263" s="2" t="s">
        <v>16</v>
      </c>
      <c r="D263" s="2" t="s">
        <v>69</v>
      </c>
      <c r="E263">
        <v>47551.89</v>
      </c>
      <c r="F263" t="s">
        <v>513</v>
      </c>
      <c r="G263" s="3">
        <v>43468</v>
      </c>
      <c r="H263">
        <v>1</v>
      </c>
      <c r="I263" s="2" t="s">
        <v>12</v>
      </c>
      <c r="J263" s="2" t="s">
        <v>52</v>
      </c>
    </row>
    <row r="264" spans="1:10" hidden="1" x14ac:dyDescent="0.35">
      <c r="A264" s="2" t="s">
        <v>129</v>
      </c>
      <c r="B264" s="2" t="s">
        <v>507</v>
      </c>
      <c r="C264" s="2" t="s">
        <v>16</v>
      </c>
      <c r="D264" s="2" t="s">
        <v>39</v>
      </c>
      <c r="E264">
        <v>39700.82</v>
      </c>
      <c r="F264" t="s">
        <v>513</v>
      </c>
      <c r="G264" s="3">
        <v>44203</v>
      </c>
      <c r="H264">
        <v>0.8</v>
      </c>
      <c r="I264" s="2" t="s">
        <v>12</v>
      </c>
      <c r="J264" s="2" t="s">
        <v>56</v>
      </c>
    </row>
    <row r="265" spans="1:10" hidden="1" x14ac:dyDescent="0.35">
      <c r="A265" s="2" t="s">
        <v>423</v>
      </c>
      <c r="B265" s="2" t="s">
        <v>508</v>
      </c>
      <c r="C265" s="2" t="s">
        <v>16</v>
      </c>
      <c r="D265" s="2" t="s">
        <v>85</v>
      </c>
      <c r="E265">
        <v>31089.22</v>
      </c>
      <c r="F265" t="s">
        <v>513</v>
      </c>
      <c r="G265" s="3">
        <v>43776</v>
      </c>
      <c r="H265">
        <v>1</v>
      </c>
      <c r="I265" s="2" t="s">
        <v>25</v>
      </c>
      <c r="J265" s="2" t="s">
        <v>56</v>
      </c>
    </row>
    <row r="266" spans="1:10" hidden="1" x14ac:dyDescent="0.35">
      <c r="A266" s="2" t="s">
        <v>424</v>
      </c>
      <c r="B266" s="2" t="s">
        <v>425</v>
      </c>
      <c r="C266" s="2" t="s">
        <v>16</v>
      </c>
      <c r="D266" s="2" t="s">
        <v>69</v>
      </c>
      <c r="E266">
        <v>78020.39</v>
      </c>
      <c r="F266" t="s">
        <v>511</v>
      </c>
      <c r="G266" s="3">
        <v>43899</v>
      </c>
      <c r="H266">
        <v>1</v>
      </c>
      <c r="I266" s="2" t="s">
        <v>12</v>
      </c>
      <c r="J266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F2F7-774C-43FE-9E8E-717761890799}">
  <dimension ref="A1:J49"/>
  <sheetViews>
    <sheetView topLeftCell="A22" workbookViewId="0">
      <selection activeCell="F17" sqref="F17"/>
    </sheetView>
  </sheetViews>
  <sheetFormatPr defaultRowHeight="18" x14ac:dyDescent="0.35"/>
  <cols>
    <col min="2" max="2" width="20.4140625" customWidth="1"/>
    <col min="4" max="4" width="15.83203125" customWidth="1"/>
    <col min="5" max="5" width="12.25" style="15" bestFit="1" customWidth="1"/>
    <col min="6" max="6" width="13.5" customWidth="1"/>
    <col min="7" max="7" width="9.9140625" style="3" bestFit="1" customWidth="1"/>
    <col min="9" max="9" width="16.1640625" customWidth="1"/>
    <col min="10" max="10" width="20.1640625" customWidth="1"/>
  </cols>
  <sheetData>
    <row r="1" spans="1:10" x14ac:dyDescent="0.35">
      <c r="A1" t="s">
        <v>517</v>
      </c>
    </row>
    <row r="2" spans="1:10" x14ac:dyDescent="0.35">
      <c r="A2" s="13" t="str" cm="1">
        <f t="array" ref="A2:J2">Staff[#Headers]</f>
        <v>Emp ID</v>
      </c>
      <c r="B2" s="13" t="str">
        <v>Name</v>
      </c>
      <c r="C2" s="13" t="str">
        <v>Gender</v>
      </c>
      <c r="D2" s="13" t="str">
        <v>Department</v>
      </c>
      <c r="E2" s="16" t="str">
        <v>Salary</v>
      </c>
      <c r="F2" s="13" t="str">
        <v>sal_range</v>
      </c>
      <c r="G2" s="14" t="str">
        <v>Start Date</v>
      </c>
      <c r="H2" s="13" t="str">
        <v>FTE</v>
      </c>
      <c r="I2" s="13" t="str">
        <v>Employee type</v>
      </c>
      <c r="J2" s="13" t="str">
        <v>Work location</v>
      </c>
    </row>
    <row r="3" spans="1:10" x14ac:dyDescent="0.35">
      <c r="A3" t="str" cm="1">
        <f t="array" ref="A3:J49">_xlfn._xlws.FILTER(Staff[],Staff[Salary]&gt;100000)</f>
        <v>PR00147</v>
      </c>
      <c r="B3" t="str">
        <v>Minerva Ricardot</v>
      </c>
      <c r="C3" t="str">
        <v>Male</v>
      </c>
      <c r="D3" t="str">
        <v>Engineering</v>
      </c>
      <c r="E3" s="15">
        <v>120000</v>
      </c>
      <c r="F3" t="str">
        <v>Grater than 100k</v>
      </c>
      <c r="G3" s="3">
        <v>43416</v>
      </c>
      <c r="H3">
        <v>1</v>
      </c>
      <c r="I3" t="str">
        <v>Permanent</v>
      </c>
      <c r="J3" t="str">
        <v>Remote</v>
      </c>
    </row>
    <row r="4" spans="1:10" x14ac:dyDescent="0.35">
      <c r="A4" t="str">
        <v>SQ04612</v>
      </c>
      <c r="B4" t="str">
        <v>Mick Spraberry</v>
      </c>
      <c r="C4" t="str">
        <v>Female</v>
      </c>
      <c r="D4" t="str">
        <v>Services</v>
      </c>
      <c r="E4" s="15">
        <v>120000</v>
      </c>
      <c r="F4" t="str">
        <v>Grater than 100k</v>
      </c>
      <c r="G4" s="3">
        <v>43902</v>
      </c>
      <c r="H4">
        <v>0.9</v>
      </c>
      <c r="I4" t="str">
        <v>Permanent</v>
      </c>
      <c r="J4" t="str">
        <v>Remote</v>
      </c>
    </row>
    <row r="5" spans="1:10" x14ac:dyDescent="0.35">
      <c r="A5" t="str">
        <v>SQ00144</v>
      </c>
      <c r="B5" t="str">
        <v>Collen Dunbleton</v>
      </c>
      <c r="C5" t="str">
        <v>Male</v>
      </c>
      <c r="D5" t="str">
        <v>Engineering</v>
      </c>
      <c r="E5" s="15">
        <v>118976.16</v>
      </c>
      <c r="F5" t="str">
        <v>Grater than 100k</v>
      </c>
      <c r="G5" s="3">
        <v>44120</v>
      </c>
      <c r="H5">
        <v>1</v>
      </c>
      <c r="I5" t="str">
        <v>Permanent</v>
      </c>
      <c r="J5" t="str">
        <v>Wellington, New Zealand</v>
      </c>
    </row>
    <row r="6" spans="1:10" x14ac:dyDescent="0.35">
      <c r="A6" t="str">
        <v>PR04601</v>
      </c>
      <c r="B6" t="str">
        <v>Yedukondalu Panditula</v>
      </c>
      <c r="C6" t="str">
        <v>Not provided</v>
      </c>
      <c r="D6" t="str">
        <v>Support</v>
      </c>
      <c r="E6" s="15">
        <v>104802.63</v>
      </c>
      <c r="F6" t="str">
        <v>Grater than 100k</v>
      </c>
      <c r="G6" s="3">
        <v>44502</v>
      </c>
      <c r="H6">
        <v>1</v>
      </c>
      <c r="I6" t="str">
        <v>Permanent</v>
      </c>
      <c r="J6" t="str">
        <v>Hyderabad, India</v>
      </c>
    </row>
    <row r="7" spans="1:10" x14ac:dyDescent="0.35">
      <c r="A7" t="str">
        <v>TN01281</v>
      </c>
      <c r="B7" t="str">
        <v xml:space="preserve">Cletus McGarahan </v>
      </c>
      <c r="C7" t="str">
        <v>Female</v>
      </c>
      <c r="D7" t="str">
        <v>Engineering</v>
      </c>
      <c r="E7" s="15">
        <v>114425.19</v>
      </c>
      <c r="F7" t="str">
        <v>Grater than 100k</v>
      </c>
      <c r="G7" s="3">
        <v>43857</v>
      </c>
      <c r="H7">
        <v>1</v>
      </c>
      <c r="I7" t="str">
        <v>Permanent</v>
      </c>
      <c r="J7" t="str">
        <v>Wellington, New Zealand</v>
      </c>
    </row>
    <row r="8" spans="1:10" x14ac:dyDescent="0.35">
      <c r="A8" t="str">
        <v>PR02288</v>
      </c>
      <c r="B8" t="str">
        <v>Althea  Bronger</v>
      </c>
      <c r="C8" t="str">
        <v>Male</v>
      </c>
      <c r="D8" t="str">
        <v>Product Management</v>
      </c>
      <c r="E8" s="15">
        <v>104335.03999999999</v>
      </c>
      <c r="F8" t="str">
        <v>Grater than 100k</v>
      </c>
      <c r="G8" s="3">
        <v>43874</v>
      </c>
      <c r="H8">
        <v>1</v>
      </c>
      <c r="I8" t="str">
        <v>Permanent</v>
      </c>
      <c r="J8" t="str">
        <v>Columbus, USA</v>
      </c>
    </row>
    <row r="9" spans="1:10" x14ac:dyDescent="0.35">
      <c r="A9" t="str">
        <v>SQ01620</v>
      </c>
      <c r="B9" t="str">
        <v>Westbrook Brandino</v>
      </c>
      <c r="C9" t="str">
        <v>Male</v>
      </c>
      <c r="D9" t="str">
        <v>Legal</v>
      </c>
      <c r="E9" s="15">
        <v>113616.23</v>
      </c>
      <c r="F9" t="str">
        <v>Grater than 100k</v>
      </c>
      <c r="G9" s="3">
        <v>43255</v>
      </c>
      <c r="H9">
        <v>1</v>
      </c>
      <c r="I9" t="str">
        <v>Permanent</v>
      </c>
      <c r="J9" t="str">
        <v>Remote</v>
      </c>
    </row>
    <row r="10" spans="1:10" x14ac:dyDescent="0.35">
      <c r="A10" t="str">
        <v>VT04681</v>
      </c>
      <c r="B10" t="str">
        <v>Nickolai  Artin</v>
      </c>
      <c r="C10" t="str">
        <v>Female</v>
      </c>
      <c r="D10" t="str">
        <v>Product Management</v>
      </c>
      <c r="E10" s="15">
        <v>110906.35</v>
      </c>
      <c r="F10" t="str">
        <v>Grater than 100k</v>
      </c>
      <c r="G10" s="3">
        <v>43434</v>
      </c>
      <c r="H10">
        <v>1</v>
      </c>
      <c r="I10" t="str">
        <v>Temporary</v>
      </c>
      <c r="J10" t="str">
        <v>Wellington, New Zealand</v>
      </c>
    </row>
    <row r="11" spans="1:10" x14ac:dyDescent="0.35">
      <c r="A11" t="str">
        <v>TN04246</v>
      </c>
      <c r="B11" t="str">
        <v xml:space="preserve">Shaylyn Ransbury </v>
      </c>
      <c r="C11" t="str">
        <v>Female</v>
      </c>
      <c r="D11" t="str">
        <v>Support</v>
      </c>
      <c r="E11" s="15">
        <v>100371.31</v>
      </c>
      <c r="F11" t="str">
        <v>Grater than 100k</v>
      </c>
      <c r="G11" s="3">
        <v>44067</v>
      </c>
      <c r="H11">
        <v>0.8</v>
      </c>
      <c r="I11" t="str">
        <v>Fixed Term</v>
      </c>
      <c r="J11" t="str">
        <v>Auckland, New Zealand</v>
      </c>
    </row>
    <row r="12" spans="1:10" x14ac:dyDescent="0.35">
      <c r="A12" t="str">
        <v>VT02801</v>
      </c>
      <c r="B12" t="str">
        <v>Shellysheldon Mahady</v>
      </c>
      <c r="C12" t="str">
        <v>Male</v>
      </c>
      <c r="D12" t="str">
        <v>Training</v>
      </c>
      <c r="E12" s="15">
        <v>114691.03</v>
      </c>
      <c r="F12" t="str">
        <v>Grater than 100k</v>
      </c>
      <c r="G12" s="3">
        <v>44039</v>
      </c>
      <c r="H12">
        <v>1</v>
      </c>
      <c r="I12" t="str">
        <v>Temporary</v>
      </c>
      <c r="J12" t="str">
        <v>Wellington, New Zealand</v>
      </c>
    </row>
    <row r="13" spans="1:10" x14ac:dyDescent="0.35">
      <c r="A13" t="str">
        <v>PR02208</v>
      </c>
      <c r="B13" t="str">
        <v>Gowri Sankar Chakrala</v>
      </c>
      <c r="C13" t="str">
        <v>Female</v>
      </c>
      <c r="D13" t="str">
        <v>Training</v>
      </c>
      <c r="E13" s="15">
        <v>102934.09</v>
      </c>
      <c r="F13" t="str">
        <v>Grater than 100k</v>
      </c>
      <c r="G13" s="3">
        <v>44315</v>
      </c>
      <c r="H13">
        <v>1</v>
      </c>
      <c r="I13" t="str">
        <v>Permanent</v>
      </c>
      <c r="J13" t="str">
        <v>Hyderabad, India</v>
      </c>
    </row>
    <row r="14" spans="1:10" x14ac:dyDescent="0.35">
      <c r="A14" t="str">
        <v>VT04093</v>
      </c>
      <c r="B14" t="str">
        <v>Prasanna Lakshmi Payasam</v>
      </c>
      <c r="C14" t="str">
        <v>Female</v>
      </c>
      <c r="D14" t="str">
        <v>Training</v>
      </c>
      <c r="E14" s="15">
        <v>116767.63</v>
      </c>
      <c r="F14" t="str">
        <v>Grater than 100k</v>
      </c>
      <c r="G14" s="3">
        <v>43949</v>
      </c>
      <c r="H14">
        <v>0.4</v>
      </c>
      <c r="I14" t="str">
        <v>Temporary</v>
      </c>
      <c r="J14" t="str">
        <v>Chennai, India</v>
      </c>
    </row>
    <row r="15" spans="1:10" x14ac:dyDescent="0.35">
      <c r="A15" t="str">
        <v>VT03421</v>
      </c>
      <c r="B15" t="str">
        <v>Alic Bagg</v>
      </c>
      <c r="C15" t="str">
        <v>Male</v>
      </c>
      <c r="D15" t="str">
        <v>Legal</v>
      </c>
      <c r="E15" s="15">
        <v>113747.56</v>
      </c>
      <c r="F15" t="str">
        <v>Grater than 100k</v>
      </c>
      <c r="G15" s="3">
        <v>44270</v>
      </c>
      <c r="H15">
        <v>0.7</v>
      </c>
      <c r="I15" t="str">
        <v>Temporary</v>
      </c>
      <c r="J15" t="str">
        <v>Columbus, USA</v>
      </c>
    </row>
    <row r="16" spans="1:10" x14ac:dyDescent="0.35">
      <c r="A16" t="str">
        <v>VT02491</v>
      </c>
      <c r="B16" t="str">
        <v>Alexis Gotfrey</v>
      </c>
      <c r="C16" t="str">
        <v>Male</v>
      </c>
      <c r="D16" t="str">
        <v>Engineering</v>
      </c>
      <c r="E16" s="15">
        <v>114465.93</v>
      </c>
      <c r="F16" t="str">
        <v>Grater than 100k</v>
      </c>
      <c r="G16" s="3">
        <v>43291</v>
      </c>
      <c r="H16">
        <v>1</v>
      </c>
      <c r="I16" t="str">
        <v>Temporary</v>
      </c>
      <c r="J16" t="str">
        <v>Wellington, New Zealand</v>
      </c>
    </row>
    <row r="17" spans="1:10" x14ac:dyDescent="0.35">
      <c r="A17" t="str">
        <v>TN04058</v>
      </c>
      <c r="B17" t="str">
        <v>Subbarao Malladi</v>
      </c>
      <c r="C17" t="str">
        <v>Male</v>
      </c>
      <c r="D17" t="str">
        <v>Product Management</v>
      </c>
      <c r="E17" s="15">
        <v>106775.14</v>
      </c>
      <c r="F17" t="str">
        <v>Grater than 100k</v>
      </c>
      <c r="G17" s="3">
        <v>43563</v>
      </c>
      <c r="H17">
        <v>1</v>
      </c>
      <c r="I17" t="str">
        <v>Fixed Term</v>
      </c>
      <c r="J17" t="str">
        <v>Hyderabad, India</v>
      </c>
    </row>
    <row r="18" spans="1:10" x14ac:dyDescent="0.35">
      <c r="A18" t="str">
        <v>PR01159</v>
      </c>
      <c r="B18" t="str">
        <v>Mollie  Hanway</v>
      </c>
      <c r="C18" t="str">
        <v>Male</v>
      </c>
      <c r="D18" t="str">
        <v>Engineering</v>
      </c>
      <c r="E18" s="15">
        <v>112645.99</v>
      </c>
      <c r="F18" t="str">
        <v>Grater than 100k</v>
      </c>
      <c r="G18" s="3">
        <v>43759</v>
      </c>
      <c r="H18">
        <v>0.6</v>
      </c>
      <c r="I18" t="str">
        <v>Permanent</v>
      </c>
      <c r="J18" t="str">
        <v>Seattle, USA</v>
      </c>
    </row>
    <row r="19" spans="1:10" x14ac:dyDescent="0.35">
      <c r="A19" t="str">
        <v>SQ03476</v>
      </c>
      <c r="B19" t="str">
        <v>Ramalingam Kothapeta</v>
      </c>
      <c r="C19" t="str">
        <v>Not provided</v>
      </c>
      <c r="D19" t="str">
        <v>Accounting</v>
      </c>
      <c r="E19" s="15">
        <v>107107.6</v>
      </c>
      <c r="F19" t="str">
        <v>Grater than 100k</v>
      </c>
      <c r="G19" s="3">
        <v>43325</v>
      </c>
      <c r="H19">
        <v>0.9</v>
      </c>
      <c r="I19" t="str">
        <v>Permanent</v>
      </c>
      <c r="J19" t="str">
        <v>Chennai, India</v>
      </c>
    </row>
    <row r="20" spans="1:10" x14ac:dyDescent="0.35">
      <c r="A20" t="str">
        <v>VT01684</v>
      </c>
      <c r="B20" t="str">
        <v>Audry Yu</v>
      </c>
      <c r="C20" t="str">
        <v>Female</v>
      </c>
      <c r="D20" t="str">
        <v>Training</v>
      </c>
      <c r="E20" s="15">
        <v>101187.36</v>
      </c>
      <c r="F20" t="str">
        <v>Grater than 100k</v>
      </c>
      <c r="G20" s="3">
        <v>43258</v>
      </c>
      <c r="H20">
        <v>1</v>
      </c>
      <c r="I20" t="str">
        <v>Fixed Term</v>
      </c>
      <c r="J20" t="str">
        <v>Columbus, USA</v>
      </c>
    </row>
    <row r="21" spans="1:10" x14ac:dyDescent="0.35">
      <c r="A21" t="str">
        <v>TN04740</v>
      </c>
      <c r="B21" t="str">
        <v>Tristam Cuming</v>
      </c>
      <c r="C21" t="str">
        <v>Female</v>
      </c>
      <c r="D21" t="str">
        <v>Support</v>
      </c>
      <c r="E21" s="15">
        <v>104038.9</v>
      </c>
      <c r="F21" t="str">
        <v>Grater than 100k</v>
      </c>
      <c r="G21" s="3">
        <v>43815</v>
      </c>
      <c r="H21">
        <v>1</v>
      </c>
      <c r="I21" t="str">
        <v>Fixed Term</v>
      </c>
      <c r="J21" t="str">
        <v>Remote</v>
      </c>
    </row>
    <row r="22" spans="1:10" x14ac:dyDescent="0.35">
      <c r="A22" t="str">
        <v>VT01893</v>
      </c>
      <c r="B22" t="str">
        <v>Lindy Guillet</v>
      </c>
      <c r="C22" t="str">
        <v>Male</v>
      </c>
      <c r="D22" t="str">
        <v>Training</v>
      </c>
      <c r="E22" s="15">
        <v>112778.28</v>
      </c>
      <c r="F22" t="str">
        <v>Grater than 100k</v>
      </c>
      <c r="G22" s="3">
        <v>43250</v>
      </c>
      <c r="H22">
        <v>1</v>
      </c>
      <c r="I22" t="str">
        <v>Fixed Term</v>
      </c>
      <c r="J22" t="str">
        <v>Remote</v>
      </c>
    </row>
    <row r="23" spans="1:10" x14ac:dyDescent="0.35">
      <c r="A23" t="str">
        <v>PR02010</v>
      </c>
      <c r="B23" t="str">
        <v>Prerana Nishita</v>
      </c>
      <c r="C23" t="str">
        <v>Male</v>
      </c>
      <c r="D23" t="str">
        <v>Product Management</v>
      </c>
      <c r="E23" s="15">
        <v>115191.38</v>
      </c>
      <c r="F23" t="str">
        <v>Grater than 100k</v>
      </c>
      <c r="G23" s="3">
        <v>44004</v>
      </c>
      <c r="H23">
        <v>1</v>
      </c>
      <c r="I23" t="str">
        <v>Permanent</v>
      </c>
      <c r="J23" t="str">
        <v>Hyderabad, India</v>
      </c>
    </row>
    <row r="24" spans="1:10" x14ac:dyDescent="0.35">
      <c r="A24" t="str">
        <v>SQ00498</v>
      </c>
      <c r="B24" t="str">
        <v>Amery Ofer</v>
      </c>
      <c r="C24" t="str">
        <v>Female</v>
      </c>
      <c r="D24" t="str">
        <v>Legal</v>
      </c>
      <c r="E24" s="15">
        <v>111049.84</v>
      </c>
      <c r="F24" t="str">
        <v>Grater than 100k</v>
      </c>
      <c r="G24" s="3">
        <v>44393</v>
      </c>
      <c r="H24">
        <v>1</v>
      </c>
      <c r="I24" t="str">
        <v>Permanent</v>
      </c>
      <c r="J24" t="str">
        <v>Wellington, New Zealand</v>
      </c>
    </row>
    <row r="25" spans="1:10" x14ac:dyDescent="0.35">
      <c r="A25" t="str">
        <v>TN04058</v>
      </c>
      <c r="B25" t="str">
        <v>Vasu Nandin</v>
      </c>
      <c r="C25" t="str">
        <v>Male</v>
      </c>
      <c r="D25" t="str">
        <v>Product Management</v>
      </c>
      <c r="E25" s="15">
        <v>106775.14</v>
      </c>
      <c r="F25" t="str">
        <v>Grater than 100k</v>
      </c>
      <c r="G25" s="3">
        <v>43563</v>
      </c>
      <c r="H25">
        <v>1</v>
      </c>
      <c r="I25" t="str">
        <v>Fixed Term</v>
      </c>
      <c r="J25" t="str">
        <v>Hyderabad, India</v>
      </c>
    </row>
    <row r="26" spans="1:10" x14ac:dyDescent="0.35">
      <c r="A26" t="str">
        <v>SQ04603</v>
      </c>
      <c r="B26" t="str">
        <v>Natalee Craiker</v>
      </c>
      <c r="C26" t="str">
        <v>Male</v>
      </c>
      <c r="D26" t="str">
        <v>Product Management</v>
      </c>
      <c r="E26" s="15">
        <v>111229.47</v>
      </c>
      <c r="F26" t="str">
        <v>Grater than 100k</v>
      </c>
      <c r="G26" s="3">
        <v>43402</v>
      </c>
      <c r="H26">
        <v>1</v>
      </c>
      <c r="I26" t="str">
        <v>Permanent</v>
      </c>
      <c r="J26" t="str">
        <v>Remote</v>
      </c>
    </row>
    <row r="27" spans="1:10" x14ac:dyDescent="0.35">
      <c r="A27" t="str">
        <v>VT04028</v>
      </c>
      <c r="B27" t="str">
        <v>Michale Rolf</v>
      </c>
      <c r="C27" t="str">
        <v>Male</v>
      </c>
      <c r="D27" t="str">
        <v>Services</v>
      </c>
      <c r="E27" s="15">
        <v>111815.49</v>
      </c>
      <c r="F27" t="str">
        <v>Grater than 100k</v>
      </c>
      <c r="G27" s="3">
        <v>43895</v>
      </c>
      <c r="H27">
        <v>0.7</v>
      </c>
      <c r="I27" t="str">
        <v>Temporary</v>
      </c>
      <c r="J27" t="str">
        <v>Remote</v>
      </c>
    </row>
    <row r="28" spans="1:10" x14ac:dyDescent="0.35">
      <c r="A28" t="str">
        <v>VT04028</v>
      </c>
      <c r="B28" t="str">
        <v>Michale Rolf</v>
      </c>
      <c r="C28" t="str">
        <v>Male</v>
      </c>
      <c r="D28" t="str">
        <v>Services</v>
      </c>
      <c r="E28" s="15">
        <v>111815.49</v>
      </c>
      <c r="F28" t="str">
        <v>Grater than 100k</v>
      </c>
      <c r="G28" s="3">
        <v>43895</v>
      </c>
      <c r="H28">
        <v>0.7</v>
      </c>
      <c r="I28" t="str">
        <v>Temporary</v>
      </c>
      <c r="J28" t="str">
        <v>Remote</v>
      </c>
    </row>
    <row r="29" spans="1:10" x14ac:dyDescent="0.35">
      <c r="A29" t="str">
        <v>SQ00022</v>
      </c>
      <c r="B29" t="str">
        <v>Carlin Demke</v>
      </c>
      <c r="C29" t="str">
        <v>Male</v>
      </c>
      <c r="D29" t="str">
        <v>Business Development</v>
      </c>
      <c r="E29" s="15">
        <v>110042.37</v>
      </c>
      <c r="F29" t="str">
        <v>Grater than 100k</v>
      </c>
      <c r="G29" s="3">
        <v>43914</v>
      </c>
      <c r="H29">
        <v>1</v>
      </c>
      <c r="I29" t="str">
        <v>Permanent</v>
      </c>
      <c r="J29" t="str">
        <v>Columbus, USA</v>
      </c>
    </row>
    <row r="30" spans="1:10" x14ac:dyDescent="0.35">
      <c r="A30" t="str">
        <v>SQ03116</v>
      </c>
      <c r="B30" t="str">
        <v>Syd Fearn</v>
      </c>
      <c r="C30" t="str">
        <v>Male</v>
      </c>
      <c r="D30" t="str">
        <v>Engineering</v>
      </c>
      <c r="E30" s="15">
        <v>108872.77</v>
      </c>
      <c r="F30" t="str">
        <v>Grater than 100k</v>
      </c>
      <c r="G30" s="3">
        <v>43521</v>
      </c>
      <c r="H30">
        <v>1</v>
      </c>
      <c r="I30" t="str">
        <v>Permanent</v>
      </c>
      <c r="J30" t="str">
        <v>Remote</v>
      </c>
    </row>
    <row r="31" spans="1:10" x14ac:dyDescent="0.35">
      <c r="A31" t="str">
        <v>VT04552</v>
      </c>
      <c r="B31" t="str">
        <v>Theresita Chasmer</v>
      </c>
      <c r="C31" t="str">
        <v>Female</v>
      </c>
      <c r="D31" t="str">
        <v>Product Management</v>
      </c>
      <c r="E31" s="15">
        <v>106665.67</v>
      </c>
      <c r="F31" t="str">
        <v>Grater than 100k</v>
      </c>
      <c r="G31" s="3">
        <v>43311</v>
      </c>
      <c r="H31">
        <v>1</v>
      </c>
      <c r="I31" t="str">
        <v>Temporary</v>
      </c>
      <c r="J31" t="str">
        <v>Columbus, USA</v>
      </c>
    </row>
    <row r="32" spans="1:10" x14ac:dyDescent="0.35">
      <c r="A32" t="str">
        <v>SQ04665</v>
      </c>
      <c r="B32" t="str">
        <v>Collin Jagson</v>
      </c>
      <c r="C32" t="str">
        <v>Male</v>
      </c>
      <c r="D32" t="str">
        <v>Services</v>
      </c>
      <c r="E32" s="15">
        <v>100424.23</v>
      </c>
      <c r="F32" t="str">
        <v>Grater than 100k</v>
      </c>
      <c r="G32" s="3">
        <v>43801</v>
      </c>
      <c r="H32">
        <v>1</v>
      </c>
      <c r="I32" t="str">
        <v>Permanent</v>
      </c>
      <c r="J32" t="str">
        <v>Auckland, New Zealand</v>
      </c>
    </row>
    <row r="33" spans="1:10" x14ac:dyDescent="0.35">
      <c r="A33" t="str">
        <v>VT01893</v>
      </c>
      <c r="B33" t="str">
        <v>Lindy Guillet</v>
      </c>
      <c r="C33" t="str">
        <v>Male</v>
      </c>
      <c r="D33" t="str">
        <v>Training</v>
      </c>
      <c r="E33" s="15">
        <v>112778.28</v>
      </c>
      <c r="F33" t="str">
        <v>Grater than 100k</v>
      </c>
      <c r="G33" s="3">
        <v>43250</v>
      </c>
      <c r="H33">
        <v>1</v>
      </c>
      <c r="I33" t="str">
        <v>Fixed Term</v>
      </c>
      <c r="J33" t="str">
        <v>Remote</v>
      </c>
    </row>
    <row r="34" spans="1:10" x14ac:dyDescent="0.35">
      <c r="A34" t="str">
        <v>PR03886</v>
      </c>
      <c r="B34" t="str">
        <v>Edd  MacKnockiter</v>
      </c>
      <c r="C34" t="str">
        <v>Male</v>
      </c>
      <c r="D34" t="str">
        <v>Accounting</v>
      </c>
      <c r="E34" s="15">
        <v>119022.49</v>
      </c>
      <c r="F34" t="str">
        <v>Grater than 100k</v>
      </c>
      <c r="G34" s="3">
        <v>44431</v>
      </c>
      <c r="H34">
        <v>1</v>
      </c>
      <c r="I34" t="str">
        <v>Permanent</v>
      </c>
      <c r="J34" t="str">
        <v>Auckland, New Zealand</v>
      </c>
    </row>
    <row r="35" spans="1:10" x14ac:dyDescent="0.35">
      <c r="A35" t="str">
        <v>PR00746</v>
      </c>
      <c r="B35" t="str">
        <v>Hogan Iles</v>
      </c>
      <c r="C35" t="str">
        <v>Female</v>
      </c>
      <c r="D35" t="str">
        <v>Accounting</v>
      </c>
      <c r="E35" s="15">
        <v>114177.23</v>
      </c>
      <c r="F35" t="str">
        <v>Grater than 100k</v>
      </c>
      <c r="G35" s="3">
        <v>43908</v>
      </c>
      <c r="H35">
        <v>1</v>
      </c>
      <c r="I35" t="str">
        <v>Permanent</v>
      </c>
      <c r="J35" t="str">
        <v>Wellington, New Zealand</v>
      </c>
    </row>
    <row r="36" spans="1:10" x14ac:dyDescent="0.35">
      <c r="A36" t="str">
        <v>SQ03387</v>
      </c>
      <c r="B36" t="str">
        <v>Robinia Scholling</v>
      </c>
      <c r="C36" t="str">
        <v>Female</v>
      </c>
      <c r="D36" t="str">
        <v>Human Resources</v>
      </c>
      <c r="E36" s="15">
        <v>100731.95</v>
      </c>
      <c r="F36" t="str">
        <v>Grater than 100k</v>
      </c>
      <c r="G36" s="3">
        <v>43936</v>
      </c>
      <c r="H36">
        <v>1</v>
      </c>
      <c r="I36" t="str">
        <v>Permanent</v>
      </c>
      <c r="J36" t="str">
        <v>Auckland, New Zealand</v>
      </c>
    </row>
    <row r="37" spans="1:10" x14ac:dyDescent="0.35">
      <c r="A37" t="str">
        <v>SQ02703</v>
      </c>
      <c r="B37" t="str">
        <v>Deepit Ranjana</v>
      </c>
      <c r="C37" t="str">
        <v>Female</v>
      </c>
      <c r="D37" t="str">
        <v>Marketing</v>
      </c>
      <c r="E37" s="15">
        <v>104903.79</v>
      </c>
      <c r="F37" t="str">
        <v>Grater than 100k</v>
      </c>
      <c r="G37" s="3">
        <v>43649</v>
      </c>
      <c r="H37">
        <v>1</v>
      </c>
      <c r="I37" t="str">
        <v>Permanent</v>
      </c>
      <c r="J37" t="str">
        <v>Chennai, India</v>
      </c>
    </row>
    <row r="38" spans="1:10" x14ac:dyDescent="0.35">
      <c r="A38" t="str">
        <v>SQ03733</v>
      </c>
      <c r="B38" t="str">
        <v>Revkah Antonacci</v>
      </c>
      <c r="C38" t="str">
        <v>Male</v>
      </c>
      <c r="D38" t="str">
        <v>Engineering</v>
      </c>
      <c r="E38" s="15">
        <v>109143.17</v>
      </c>
      <c r="F38" t="str">
        <v>Grater than 100k</v>
      </c>
      <c r="G38" s="3">
        <v>43945</v>
      </c>
      <c r="H38">
        <v>1</v>
      </c>
      <c r="I38" t="str">
        <v>Permanent</v>
      </c>
      <c r="J38" t="str">
        <v>Wellington, New Zealand</v>
      </c>
    </row>
    <row r="39" spans="1:10" x14ac:dyDescent="0.35">
      <c r="A39" t="str">
        <v>TN00579</v>
      </c>
      <c r="B39" t="str">
        <v xml:space="preserve">Rafaelita Blaksland </v>
      </c>
      <c r="C39" t="str">
        <v>Female</v>
      </c>
      <c r="D39" t="str">
        <v>Services</v>
      </c>
      <c r="E39" s="15">
        <v>109163.39</v>
      </c>
      <c r="F39" t="str">
        <v>Grater than 100k</v>
      </c>
      <c r="G39" s="3">
        <v>44019</v>
      </c>
      <c r="H39">
        <v>0.8</v>
      </c>
      <c r="I39" t="str">
        <v>Permanent</v>
      </c>
      <c r="J39" t="str">
        <v>Seattle, USA</v>
      </c>
    </row>
    <row r="40" spans="1:10" x14ac:dyDescent="0.35">
      <c r="A40" t="str">
        <v>SQ02174</v>
      </c>
      <c r="B40" t="str">
        <v>Sidoney Yitzhok</v>
      </c>
      <c r="C40" t="str">
        <v>Female</v>
      </c>
      <c r="D40" t="str">
        <v>Engineering</v>
      </c>
      <c r="E40" s="15">
        <v>118442.54</v>
      </c>
      <c r="F40" t="str">
        <v>Grater than 100k</v>
      </c>
      <c r="G40" s="3">
        <v>44193</v>
      </c>
      <c r="H40">
        <v>1</v>
      </c>
      <c r="I40" t="str">
        <v>Permanent</v>
      </c>
      <c r="J40" t="str">
        <v>Auckland, New Zealand</v>
      </c>
    </row>
    <row r="41" spans="1:10" x14ac:dyDescent="0.35">
      <c r="A41" t="str">
        <v>VT01762</v>
      </c>
      <c r="B41" t="str">
        <v>Geena Raghavanpillai</v>
      </c>
      <c r="C41" t="str">
        <v>Male</v>
      </c>
      <c r="D41" t="str">
        <v>Accounting</v>
      </c>
      <c r="E41" s="15">
        <v>102515.81</v>
      </c>
      <c r="F41" t="str">
        <v>Grater than 100k</v>
      </c>
      <c r="G41" s="3">
        <v>43902</v>
      </c>
      <c r="H41">
        <v>1</v>
      </c>
      <c r="I41" t="str">
        <v>Fixed Term</v>
      </c>
      <c r="J41" t="str">
        <v>Chennai, India</v>
      </c>
    </row>
    <row r="42" spans="1:10" x14ac:dyDescent="0.35">
      <c r="A42" t="str">
        <v>VT04093</v>
      </c>
      <c r="B42" t="str">
        <v>Baruna Ogale</v>
      </c>
      <c r="C42" t="str">
        <v>Female</v>
      </c>
      <c r="D42" t="str">
        <v>Training</v>
      </c>
      <c r="E42" s="15">
        <v>116767.63</v>
      </c>
      <c r="F42" t="str">
        <v>Grater than 100k</v>
      </c>
      <c r="G42" s="3">
        <v>43949</v>
      </c>
      <c r="H42">
        <v>0.4</v>
      </c>
      <c r="I42" t="str">
        <v>Temporary</v>
      </c>
      <c r="J42" t="str">
        <v>Chennai, India</v>
      </c>
    </row>
    <row r="43" spans="1:10" x14ac:dyDescent="0.35">
      <c r="A43" t="str">
        <v>SQ03491</v>
      </c>
      <c r="B43" t="str">
        <v>Freda Legan</v>
      </c>
      <c r="C43" t="str">
        <v>Female</v>
      </c>
      <c r="D43" t="str">
        <v>Sales</v>
      </c>
      <c r="E43" s="15">
        <v>102129.37</v>
      </c>
      <c r="F43" t="str">
        <v>Grater than 100k</v>
      </c>
      <c r="G43" s="3">
        <v>44396</v>
      </c>
      <c r="H43">
        <v>1</v>
      </c>
      <c r="I43" t="str">
        <v>Permanent</v>
      </c>
      <c r="J43" t="str">
        <v>Columbus, USA</v>
      </c>
    </row>
    <row r="44" spans="1:10" x14ac:dyDescent="0.35">
      <c r="A44" t="str">
        <v>VT04350</v>
      </c>
      <c r="B44" t="str">
        <v>Kulbhushan Moorthy</v>
      </c>
      <c r="C44" t="str">
        <v>Male</v>
      </c>
      <c r="D44" t="str">
        <v>Business Development</v>
      </c>
      <c r="E44" s="15">
        <v>106400.02</v>
      </c>
      <c r="F44" t="str">
        <v>Grater than 100k</v>
      </c>
      <c r="G44" s="3">
        <v>44021</v>
      </c>
      <c r="H44">
        <v>1</v>
      </c>
      <c r="I44" t="str">
        <v>Temporary</v>
      </c>
      <c r="J44" t="str">
        <v>Chennai, India</v>
      </c>
    </row>
    <row r="45" spans="1:10" x14ac:dyDescent="0.35">
      <c r="A45" t="str">
        <v>SQ02035</v>
      </c>
      <c r="B45" t="str">
        <v>Anni Izzard</v>
      </c>
      <c r="C45" t="str">
        <v>Male</v>
      </c>
      <c r="D45" t="str">
        <v>Human Resources</v>
      </c>
      <c r="E45" s="15">
        <v>103494.94</v>
      </c>
      <c r="F45" t="str">
        <v>Grater than 100k</v>
      </c>
      <c r="G45" s="3">
        <v>43256</v>
      </c>
      <c r="H45">
        <v>1</v>
      </c>
      <c r="I45" t="str">
        <v>Permanent</v>
      </c>
      <c r="J45" t="str">
        <v>Remote</v>
      </c>
    </row>
    <row r="46" spans="1:10" x14ac:dyDescent="0.35">
      <c r="A46" t="str">
        <v>SQ02035</v>
      </c>
      <c r="B46" t="str">
        <v>Anni Izzard</v>
      </c>
      <c r="C46" t="str">
        <v>Male</v>
      </c>
      <c r="D46" t="str">
        <v>Human Resources</v>
      </c>
      <c r="E46" s="15">
        <v>103494.94</v>
      </c>
      <c r="F46" t="str">
        <v>Grater than 100k</v>
      </c>
      <c r="G46" s="3">
        <v>43256</v>
      </c>
      <c r="H46">
        <v>1</v>
      </c>
      <c r="I46" t="str">
        <v>Permanent</v>
      </c>
      <c r="J46" t="str">
        <v>Remote</v>
      </c>
    </row>
    <row r="47" spans="1:10" x14ac:dyDescent="0.35">
      <c r="A47" t="str">
        <v>VT04350</v>
      </c>
      <c r="B47" t="str">
        <v>Lalit Kothari</v>
      </c>
      <c r="C47" t="str">
        <v>Male</v>
      </c>
      <c r="D47" t="str">
        <v>Business Development</v>
      </c>
      <c r="E47" s="15">
        <v>106400.02</v>
      </c>
      <c r="F47" t="str">
        <v>Grater than 100k</v>
      </c>
      <c r="G47" s="3">
        <v>44021</v>
      </c>
      <c r="H47">
        <v>1</v>
      </c>
      <c r="I47" t="str">
        <v>Temporary</v>
      </c>
      <c r="J47" t="str">
        <v>Chennai, India</v>
      </c>
    </row>
    <row r="48" spans="1:10" x14ac:dyDescent="0.35">
      <c r="A48" t="str">
        <v>SQ02624</v>
      </c>
      <c r="B48" t="str">
        <v>Gwenneth Fealey</v>
      </c>
      <c r="C48" t="str">
        <v>Female</v>
      </c>
      <c r="D48" t="str">
        <v>Engineering</v>
      </c>
      <c r="E48" s="15">
        <v>114772.32</v>
      </c>
      <c r="F48" t="str">
        <v>Grater than 100k</v>
      </c>
      <c r="G48" s="3">
        <v>44251</v>
      </c>
      <c r="H48">
        <v>1</v>
      </c>
      <c r="I48" t="str">
        <v>Permanent</v>
      </c>
      <c r="J48" t="str">
        <v>Columbus, USA</v>
      </c>
    </row>
    <row r="49" spans="1:10" x14ac:dyDescent="0.35">
      <c r="A49" t="str">
        <v>VT03421</v>
      </c>
      <c r="B49" t="str">
        <v>Alic Bagg</v>
      </c>
      <c r="C49" t="str">
        <v>Male</v>
      </c>
      <c r="D49" t="str">
        <v>Legal</v>
      </c>
      <c r="E49" s="15">
        <v>113747.56</v>
      </c>
      <c r="F49" t="str">
        <v>Grater than 100k</v>
      </c>
      <c r="G49" s="3">
        <v>44270</v>
      </c>
      <c r="H49">
        <v>0.7</v>
      </c>
      <c r="I49" t="str">
        <v>Temporary</v>
      </c>
      <c r="J49" t="str">
        <v>Columbus, USA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A78E-4752-4C02-8F04-AE5BCBC05C74}">
  <dimension ref="A1:D1048576"/>
  <sheetViews>
    <sheetView tabSelected="1" workbookViewId="0">
      <selection activeCell="D1" sqref="D1"/>
    </sheetView>
  </sheetViews>
  <sheetFormatPr defaultRowHeight="18" x14ac:dyDescent="0.35"/>
  <cols>
    <col min="1" max="1" width="22.08203125" style="8" bestFit="1" customWidth="1"/>
    <col min="2" max="2" width="13.6640625" customWidth="1"/>
    <col min="3" max="3" width="14.83203125" style="5" bestFit="1" customWidth="1"/>
    <col min="4" max="4" width="19.83203125" customWidth="1"/>
  </cols>
  <sheetData>
    <row r="1" spans="1:4" x14ac:dyDescent="0.35">
      <c r="A1" s="6" t="s">
        <v>3</v>
      </c>
      <c r="B1" s="9" t="s">
        <v>514</v>
      </c>
      <c r="C1" s="10" t="s">
        <v>515</v>
      </c>
      <c r="D1" s="12" t="s">
        <v>516</v>
      </c>
    </row>
    <row r="2" spans="1:4" x14ac:dyDescent="0.35">
      <c r="A2" s="7" t="s">
        <v>30</v>
      </c>
      <c r="B2" s="1" cm="1">
        <f t="array" ref="B2:B13">COUNTIF(Staff[Department],A2:A13)</f>
        <v>27</v>
      </c>
      <c r="C2" s="11" cm="1">
        <f t="array" ref="C2:C13">SUMIFS(Staff[Salary],Staff[Department],A2:A13)</f>
        <v>2131387.4899999998</v>
      </c>
      <c r="D2" cm="1">
        <f t="array" ref="D2:D13">COUNTIFS(Staff[Department],A2:A13,Staff[Employee type],"Permanent")</f>
        <v>17</v>
      </c>
    </row>
    <row r="3" spans="1:4" x14ac:dyDescent="0.35">
      <c r="A3" s="7" t="s">
        <v>17</v>
      </c>
      <c r="B3" s="1">
        <v>26</v>
      </c>
      <c r="C3" s="11">
        <v>2074326.9500000004</v>
      </c>
      <c r="D3">
        <v>18</v>
      </c>
    </row>
    <row r="4" spans="1:4" x14ac:dyDescent="0.35">
      <c r="A4" s="7" t="s">
        <v>21</v>
      </c>
      <c r="B4" s="1">
        <v>21</v>
      </c>
      <c r="C4" s="11">
        <v>1568153.4700000002</v>
      </c>
      <c r="D4">
        <v>16</v>
      </c>
    </row>
    <row r="5" spans="1:4" x14ac:dyDescent="0.35">
      <c r="A5" s="7" t="s">
        <v>24</v>
      </c>
      <c r="B5" s="1">
        <v>24</v>
      </c>
      <c r="C5" s="11">
        <v>2013215.1600000001</v>
      </c>
      <c r="D5">
        <v>11</v>
      </c>
    </row>
    <row r="6" spans="1:4" x14ac:dyDescent="0.35">
      <c r="A6" s="7" t="s">
        <v>33</v>
      </c>
      <c r="B6" s="1">
        <v>18</v>
      </c>
      <c r="C6" s="11">
        <v>1129351.7499999998</v>
      </c>
      <c r="D6">
        <v>12</v>
      </c>
    </row>
    <row r="7" spans="1:4" x14ac:dyDescent="0.35">
      <c r="A7" s="7" t="s">
        <v>36</v>
      </c>
      <c r="B7" s="1">
        <v>12</v>
      </c>
      <c r="C7" s="11">
        <v>773295.6</v>
      </c>
      <c r="D7">
        <v>9</v>
      </c>
    </row>
    <row r="8" spans="1:4" x14ac:dyDescent="0.35">
      <c r="A8" s="7" t="s">
        <v>39</v>
      </c>
      <c r="B8" s="1">
        <v>19</v>
      </c>
      <c r="C8" s="11">
        <v>1204393.78</v>
      </c>
      <c r="D8">
        <v>12</v>
      </c>
    </row>
    <row r="9" spans="1:4" x14ac:dyDescent="0.35">
      <c r="A9" s="7" t="s">
        <v>63</v>
      </c>
      <c r="B9" s="1">
        <v>22</v>
      </c>
      <c r="C9" s="11">
        <v>1608406.31</v>
      </c>
      <c r="D9">
        <v>13</v>
      </c>
    </row>
    <row r="10" spans="1:4" x14ac:dyDescent="0.35">
      <c r="A10" s="7" t="s">
        <v>66</v>
      </c>
      <c r="B10" s="1">
        <v>26</v>
      </c>
      <c r="C10" s="11">
        <v>1814980.5899999999</v>
      </c>
      <c r="D10">
        <v>18</v>
      </c>
    </row>
    <row r="11" spans="1:4" x14ac:dyDescent="0.35">
      <c r="A11" s="7" t="s">
        <v>69</v>
      </c>
      <c r="B11" s="1">
        <v>18</v>
      </c>
      <c r="C11" s="11">
        <v>1294147.72</v>
      </c>
      <c r="D11">
        <v>13</v>
      </c>
    </row>
    <row r="12" spans="1:4" x14ac:dyDescent="0.35">
      <c r="A12" s="7" t="s">
        <v>80</v>
      </c>
      <c r="B12" s="1">
        <v>29</v>
      </c>
      <c r="C12" s="11">
        <v>2180192.8699999996</v>
      </c>
      <c r="D12">
        <v>19</v>
      </c>
    </row>
    <row r="13" spans="1:4" x14ac:dyDescent="0.35">
      <c r="A13" s="7" t="s">
        <v>85</v>
      </c>
      <c r="B13" s="1">
        <v>23</v>
      </c>
      <c r="C13" s="11">
        <v>1412092.8699999999</v>
      </c>
      <c r="D13">
        <v>15</v>
      </c>
    </row>
    <row r="14" spans="1:4" x14ac:dyDescent="0.35">
      <c r="B14" s="1"/>
      <c r="C14" s="11">
        <f>SUM(C2:C13)</f>
        <v>19203944.560000002</v>
      </c>
    </row>
    <row r="1048576" spans="3:3" x14ac:dyDescent="0.35">
      <c r="C1048576" s="5">
        <f>SUM(C13)</f>
        <v>1412092.8699999999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0375-FF45-457E-939C-B77E0EAD596F}">
  <dimension ref="A1:G49"/>
  <sheetViews>
    <sheetView workbookViewId="0">
      <selection activeCell="G5" sqref="G5"/>
    </sheetView>
  </sheetViews>
  <sheetFormatPr defaultRowHeight="18" x14ac:dyDescent="0.35"/>
  <sheetData>
    <row r="1" spans="1:7" x14ac:dyDescent="0.35">
      <c r="A1" t="s">
        <v>518</v>
      </c>
      <c r="E1" t="s">
        <v>521</v>
      </c>
      <c r="F1" s="4">
        <v>100000</v>
      </c>
      <c r="G1" t="s">
        <v>520</v>
      </c>
    </row>
    <row r="2" spans="1:7" x14ac:dyDescent="0.35">
      <c r="A2" t="s">
        <v>519</v>
      </c>
    </row>
    <row r="3" spans="1:7" x14ac:dyDescent="0.35">
      <c r="A3" t="str" cm="1">
        <f t="array" ref="A3:C49">_xlfn.CHOOSECOLS(_xlfn._xlws.FILTER(Staff[],Staff[Salary]&gt;F1),1,2,3)</f>
        <v>PR00147</v>
      </c>
      <c r="B3" t="str">
        <v>Minerva Ricardot</v>
      </c>
      <c r="C3" t="str">
        <v>Male</v>
      </c>
    </row>
    <row r="4" spans="1:7" x14ac:dyDescent="0.35">
      <c r="A4" t="str">
        <v>SQ04612</v>
      </c>
      <c r="B4" t="str">
        <v>Mick Spraberry</v>
      </c>
      <c r="C4" t="str">
        <v>Female</v>
      </c>
    </row>
    <row r="5" spans="1:7" x14ac:dyDescent="0.35">
      <c r="A5" t="str">
        <v>SQ00144</v>
      </c>
      <c r="B5" t="str">
        <v>Collen Dunbleton</v>
      </c>
      <c r="C5" t="str">
        <v>Male</v>
      </c>
    </row>
    <row r="6" spans="1:7" x14ac:dyDescent="0.35">
      <c r="A6" t="str">
        <v>PR04601</v>
      </c>
      <c r="B6" t="str">
        <v>Yedukondalu Panditula</v>
      </c>
      <c r="C6" t="str">
        <v>Not provided</v>
      </c>
    </row>
    <row r="7" spans="1:7" x14ac:dyDescent="0.35">
      <c r="A7" t="str">
        <v>TN01281</v>
      </c>
      <c r="B7" t="str">
        <v xml:space="preserve">Cletus McGarahan </v>
      </c>
      <c r="C7" t="str">
        <v>Female</v>
      </c>
    </row>
    <row r="8" spans="1:7" x14ac:dyDescent="0.35">
      <c r="A8" t="str">
        <v>PR02288</v>
      </c>
      <c r="B8" t="str">
        <v>Althea  Bronger</v>
      </c>
      <c r="C8" t="str">
        <v>Male</v>
      </c>
    </row>
    <row r="9" spans="1:7" x14ac:dyDescent="0.35">
      <c r="A9" t="str">
        <v>SQ01620</v>
      </c>
      <c r="B9" t="str">
        <v>Westbrook Brandino</v>
      </c>
      <c r="C9" t="str">
        <v>Male</v>
      </c>
    </row>
    <row r="10" spans="1:7" x14ac:dyDescent="0.35">
      <c r="A10" t="str">
        <v>VT04681</v>
      </c>
      <c r="B10" t="str">
        <v>Nickolai  Artin</v>
      </c>
      <c r="C10" t="str">
        <v>Female</v>
      </c>
    </row>
    <row r="11" spans="1:7" x14ac:dyDescent="0.35">
      <c r="A11" t="str">
        <v>TN04246</v>
      </c>
      <c r="B11" t="str">
        <v xml:space="preserve">Shaylyn Ransbury </v>
      </c>
      <c r="C11" t="str">
        <v>Female</v>
      </c>
    </row>
    <row r="12" spans="1:7" x14ac:dyDescent="0.35">
      <c r="A12" t="str">
        <v>VT02801</v>
      </c>
      <c r="B12" t="str">
        <v>Shellysheldon Mahady</v>
      </c>
      <c r="C12" t="str">
        <v>Male</v>
      </c>
    </row>
    <row r="13" spans="1:7" x14ac:dyDescent="0.35">
      <c r="A13" t="str">
        <v>PR02208</v>
      </c>
      <c r="B13" t="str">
        <v>Gowri Sankar Chakrala</v>
      </c>
      <c r="C13" t="str">
        <v>Female</v>
      </c>
    </row>
    <row r="14" spans="1:7" x14ac:dyDescent="0.35">
      <c r="A14" t="str">
        <v>VT04093</v>
      </c>
      <c r="B14" t="str">
        <v>Prasanna Lakshmi Payasam</v>
      </c>
      <c r="C14" t="str">
        <v>Female</v>
      </c>
    </row>
    <row r="15" spans="1:7" x14ac:dyDescent="0.35">
      <c r="A15" t="str">
        <v>VT03421</v>
      </c>
      <c r="B15" t="str">
        <v>Alic Bagg</v>
      </c>
      <c r="C15" t="str">
        <v>Male</v>
      </c>
    </row>
    <row r="16" spans="1:7" x14ac:dyDescent="0.35">
      <c r="A16" t="str">
        <v>VT02491</v>
      </c>
      <c r="B16" t="str">
        <v>Alexis Gotfrey</v>
      </c>
      <c r="C16" t="str">
        <v>Male</v>
      </c>
    </row>
    <row r="17" spans="1:3" x14ac:dyDescent="0.35">
      <c r="A17" t="str">
        <v>TN04058</v>
      </c>
      <c r="B17" t="str">
        <v>Subbarao Malladi</v>
      </c>
      <c r="C17" t="str">
        <v>Male</v>
      </c>
    </row>
    <row r="18" spans="1:3" x14ac:dyDescent="0.35">
      <c r="A18" t="str">
        <v>PR01159</v>
      </c>
      <c r="B18" t="str">
        <v>Mollie  Hanway</v>
      </c>
      <c r="C18" t="str">
        <v>Male</v>
      </c>
    </row>
    <row r="19" spans="1:3" x14ac:dyDescent="0.35">
      <c r="A19" t="str">
        <v>SQ03476</v>
      </c>
      <c r="B19" t="str">
        <v>Ramalingam Kothapeta</v>
      </c>
      <c r="C19" t="str">
        <v>Not provided</v>
      </c>
    </row>
    <row r="20" spans="1:3" x14ac:dyDescent="0.35">
      <c r="A20" t="str">
        <v>VT01684</v>
      </c>
      <c r="B20" t="str">
        <v>Audry Yu</v>
      </c>
      <c r="C20" t="str">
        <v>Female</v>
      </c>
    </row>
    <row r="21" spans="1:3" x14ac:dyDescent="0.35">
      <c r="A21" t="str">
        <v>TN04740</v>
      </c>
      <c r="B21" t="str">
        <v>Tristam Cuming</v>
      </c>
      <c r="C21" t="str">
        <v>Female</v>
      </c>
    </row>
    <row r="22" spans="1:3" x14ac:dyDescent="0.35">
      <c r="A22" t="str">
        <v>VT01893</v>
      </c>
      <c r="B22" t="str">
        <v>Lindy Guillet</v>
      </c>
      <c r="C22" t="str">
        <v>Male</v>
      </c>
    </row>
    <row r="23" spans="1:3" x14ac:dyDescent="0.35">
      <c r="A23" t="str">
        <v>PR02010</v>
      </c>
      <c r="B23" t="str">
        <v>Prerana Nishita</v>
      </c>
      <c r="C23" t="str">
        <v>Male</v>
      </c>
    </row>
    <row r="24" spans="1:3" x14ac:dyDescent="0.35">
      <c r="A24" t="str">
        <v>SQ00498</v>
      </c>
      <c r="B24" t="str">
        <v>Amery Ofer</v>
      </c>
      <c r="C24" t="str">
        <v>Female</v>
      </c>
    </row>
    <row r="25" spans="1:3" x14ac:dyDescent="0.35">
      <c r="A25" t="str">
        <v>TN04058</v>
      </c>
      <c r="B25" t="str">
        <v>Vasu Nandin</v>
      </c>
      <c r="C25" t="str">
        <v>Male</v>
      </c>
    </row>
    <row r="26" spans="1:3" x14ac:dyDescent="0.35">
      <c r="A26" t="str">
        <v>SQ04603</v>
      </c>
      <c r="B26" t="str">
        <v>Natalee Craiker</v>
      </c>
      <c r="C26" t="str">
        <v>Male</v>
      </c>
    </row>
    <row r="27" spans="1:3" x14ac:dyDescent="0.35">
      <c r="A27" t="str">
        <v>VT04028</v>
      </c>
      <c r="B27" t="str">
        <v>Michale Rolf</v>
      </c>
      <c r="C27" t="str">
        <v>Male</v>
      </c>
    </row>
    <row r="28" spans="1:3" x14ac:dyDescent="0.35">
      <c r="A28" t="str">
        <v>VT04028</v>
      </c>
      <c r="B28" t="str">
        <v>Michale Rolf</v>
      </c>
      <c r="C28" t="str">
        <v>Male</v>
      </c>
    </row>
    <row r="29" spans="1:3" x14ac:dyDescent="0.35">
      <c r="A29" t="str">
        <v>SQ00022</v>
      </c>
      <c r="B29" t="str">
        <v>Carlin Demke</v>
      </c>
      <c r="C29" t="str">
        <v>Male</v>
      </c>
    </row>
    <row r="30" spans="1:3" x14ac:dyDescent="0.35">
      <c r="A30" t="str">
        <v>SQ03116</v>
      </c>
      <c r="B30" t="str">
        <v>Syd Fearn</v>
      </c>
      <c r="C30" t="str">
        <v>Male</v>
      </c>
    </row>
    <row r="31" spans="1:3" x14ac:dyDescent="0.35">
      <c r="A31" t="str">
        <v>VT04552</v>
      </c>
      <c r="B31" t="str">
        <v>Theresita Chasmer</v>
      </c>
      <c r="C31" t="str">
        <v>Female</v>
      </c>
    </row>
    <row r="32" spans="1:3" x14ac:dyDescent="0.35">
      <c r="A32" t="str">
        <v>SQ04665</v>
      </c>
      <c r="B32" t="str">
        <v>Collin Jagson</v>
      </c>
      <c r="C32" t="str">
        <v>Male</v>
      </c>
    </row>
    <row r="33" spans="1:3" x14ac:dyDescent="0.35">
      <c r="A33" t="str">
        <v>VT01893</v>
      </c>
      <c r="B33" t="str">
        <v>Lindy Guillet</v>
      </c>
      <c r="C33" t="str">
        <v>Male</v>
      </c>
    </row>
    <row r="34" spans="1:3" x14ac:dyDescent="0.35">
      <c r="A34" t="str">
        <v>PR03886</v>
      </c>
      <c r="B34" t="str">
        <v>Edd  MacKnockiter</v>
      </c>
      <c r="C34" t="str">
        <v>Male</v>
      </c>
    </row>
    <row r="35" spans="1:3" x14ac:dyDescent="0.35">
      <c r="A35" t="str">
        <v>PR00746</v>
      </c>
      <c r="B35" t="str">
        <v>Hogan Iles</v>
      </c>
      <c r="C35" t="str">
        <v>Female</v>
      </c>
    </row>
    <row r="36" spans="1:3" x14ac:dyDescent="0.35">
      <c r="A36" t="str">
        <v>SQ03387</v>
      </c>
      <c r="B36" t="str">
        <v>Robinia Scholling</v>
      </c>
      <c r="C36" t="str">
        <v>Female</v>
      </c>
    </row>
    <row r="37" spans="1:3" x14ac:dyDescent="0.35">
      <c r="A37" t="str">
        <v>SQ02703</v>
      </c>
      <c r="B37" t="str">
        <v>Deepit Ranjana</v>
      </c>
      <c r="C37" t="str">
        <v>Female</v>
      </c>
    </row>
    <row r="38" spans="1:3" x14ac:dyDescent="0.35">
      <c r="A38" t="str">
        <v>SQ03733</v>
      </c>
      <c r="B38" t="str">
        <v>Revkah Antonacci</v>
      </c>
      <c r="C38" t="str">
        <v>Male</v>
      </c>
    </row>
    <row r="39" spans="1:3" x14ac:dyDescent="0.35">
      <c r="A39" t="str">
        <v>TN00579</v>
      </c>
      <c r="B39" t="str">
        <v xml:space="preserve">Rafaelita Blaksland </v>
      </c>
      <c r="C39" t="str">
        <v>Female</v>
      </c>
    </row>
    <row r="40" spans="1:3" x14ac:dyDescent="0.35">
      <c r="A40" t="str">
        <v>SQ02174</v>
      </c>
      <c r="B40" t="str">
        <v>Sidoney Yitzhok</v>
      </c>
      <c r="C40" t="str">
        <v>Female</v>
      </c>
    </row>
    <row r="41" spans="1:3" x14ac:dyDescent="0.35">
      <c r="A41" t="str">
        <v>VT01762</v>
      </c>
      <c r="B41" t="str">
        <v>Geena Raghavanpillai</v>
      </c>
      <c r="C41" t="str">
        <v>Male</v>
      </c>
    </row>
    <row r="42" spans="1:3" x14ac:dyDescent="0.35">
      <c r="A42" t="str">
        <v>VT04093</v>
      </c>
      <c r="B42" t="str">
        <v>Baruna Ogale</v>
      </c>
      <c r="C42" t="str">
        <v>Female</v>
      </c>
    </row>
    <row r="43" spans="1:3" x14ac:dyDescent="0.35">
      <c r="A43" t="str">
        <v>SQ03491</v>
      </c>
      <c r="B43" t="str">
        <v>Freda Legan</v>
      </c>
      <c r="C43" t="str">
        <v>Female</v>
      </c>
    </row>
    <row r="44" spans="1:3" x14ac:dyDescent="0.35">
      <c r="A44" t="str">
        <v>VT04350</v>
      </c>
      <c r="B44" t="str">
        <v>Kulbhushan Moorthy</v>
      </c>
      <c r="C44" t="str">
        <v>Male</v>
      </c>
    </row>
    <row r="45" spans="1:3" x14ac:dyDescent="0.35">
      <c r="A45" t="str">
        <v>SQ02035</v>
      </c>
      <c r="B45" t="str">
        <v>Anni Izzard</v>
      </c>
      <c r="C45" t="str">
        <v>Male</v>
      </c>
    </row>
    <row r="46" spans="1:3" x14ac:dyDescent="0.35">
      <c r="A46" t="str">
        <v>SQ02035</v>
      </c>
      <c r="B46" t="str">
        <v>Anni Izzard</v>
      </c>
      <c r="C46" t="str">
        <v>Male</v>
      </c>
    </row>
    <row r="47" spans="1:3" x14ac:dyDescent="0.35">
      <c r="A47" t="str">
        <v>VT04350</v>
      </c>
      <c r="B47" t="str">
        <v>Lalit Kothari</v>
      </c>
      <c r="C47" t="str">
        <v>Male</v>
      </c>
    </row>
    <row r="48" spans="1:3" x14ac:dyDescent="0.35">
      <c r="A48" t="str">
        <v>SQ02624</v>
      </c>
      <c r="B48" t="str">
        <v>Gwenneth Fealey</v>
      </c>
      <c r="C48" t="str">
        <v>Female</v>
      </c>
    </row>
    <row r="49" spans="1:3" x14ac:dyDescent="0.35">
      <c r="A49" t="str">
        <v>VT03421</v>
      </c>
      <c r="B49" t="str">
        <v>Alic Bagg</v>
      </c>
      <c r="C49" t="str">
        <v>Male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1B3A-FB26-4502-83BE-04E559FB55F5}">
  <dimension ref="A2:J104"/>
  <sheetViews>
    <sheetView topLeftCell="A85" workbookViewId="0">
      <selection activeCell="D4" sqref="D4"/>
    </sheetView>
  </sheetViews>
  <sheetFormatPr defaultRowHeight="18" x14ac:dyDescent="0.35"/>
  <cols>
    <col min="2" max="2" width="17.25" customWidth="1"/>
    <col min="4" max="4" width="15.1640625" customWidth="1"/>
    <col min="6" max="6" width="15.4140625" customWidth="1"/>
    <col min="7" max="7" width="9.9140625" bestFit="1" customWidth="1"/>
    <col min="9" max="9" width="14.5" customWidth="1"/>
    <col min="10" max="10" width="20.5" customWidth="1"/>
  </cols>
  <sheetData>
    <row r="2" spans="1:10" x14ac:dyDescent="0.35">
      <c r="A2" t="s">
        <v>524</v>
      </c>
      <c r="E2" s="19">
        <v>50000</v>
      </c>
      <c r="F2" s="4" t="s">
        <v>523</v>
      </c>
      <c r="G2" t="s">
        <v>522</v>
      </c>
    </row>
    <row r="3" spans="1:10" x14ac:dyDescent="0.35">
      <c r="E3" t="s">
        <v>525</v>
      </c>
    </row>
    <row r="5" spans="1:10" x14ac:dyDescent="0.35">
      <c r="A5" s="17" t="str" cm="1">
        <f t="array" ref="A5:J5">Staff[#Headers]</f>
        <v>Emp ID</v>
      </c>
      <c r="B5" s="17" t="str">
        <v>Name</v>
      </c>
      <c r="C5" s="17" t="str">
        <v>Gender</v>
      </c>
      <c r="D5" s="17" t="str">
        <v>Department</v>
      </c>
      <c r="E5" s="17" t="str">
        <v>Salary</v>
      </c>
      <c r="F5" s="17" t="str">
        <v>sal_range</v>
      </c>
      <c r="G5" s="18" t="str">
        <v>Start Date</v>
      </c>
      <c r="H5" s="17" t="str">
        <v>FTE</v>
      </c>
      <c r="I5" s="17" t="str">
        <v>Employee type</v>
      </c>
      <c r="J5" s="17" t="str">
        <v>Work location</v>
      </c>
    </row>
    <row r="6" spans="1:10" x14ac:dyDescent="0.35">
      <c r="A6" t="str" cm="1">
        <f t="array" ref="A6:J104">_xlfn._xlws.FILTER(Staff[],(Staff[Salary]&gt;E2)*(Staff[Gender]=F2))</f>
        <v>PR00147</v>
      </c>
      <c r="B6" t="str">
        <v>Minerva Ricardot</v>
      </c>
      <c r="C6" t="str">
        <v>Male</v>
      </c>
      <c r="D6" t="str">
        <v>Engineering</v>
      </c>
      <c r="E6">
        <v>120000</v>
      </c>
      <c r="F6" t="str">
        <v>Grater than 100k</v>
      </c>
      <c r="G6" s="3">
        <v>43416</v>
      </c>
      <c r="H6">
        <v>1</v>
      </c>
      <c r="I6" t="str">
        <v>Permanent</v>
      </c>
      <c r="J6" t="str">
        <v>Remote</v>
      </c>
    </row>
    <row r="7" spans="1:10" x14ac:dyDescent="0.35">
      <c r="A7" t="str">
        <v>SQ00144</v>
      </c>
      <c r="B7" t="str">
        <v>Collen Dunbleton</v>
      </c>
      <c r="C7" t="str">
        <v>Male</v>
      </c>
      <c r="D7" t="str">
        <v>Engineering</v>
      </c>
      <c r="E7">
        <v>118976.16</v>
      </c>
      <c r="F7" t="str">
        <v>Grater than 100k</v>
      </c>
      <c r="G7" s="3">
        <v>44120</v>
      </c>
      <c r="H7">
        <v>1</v>
      </c>
      <c r="I7" t="str">
        <v>Permanent</v>
      </c>
      <c r="J7" t="str">
        <v>Wellington, New Zealand</v>
      </c>
    </row>
    <row r="8" spans="1:10" x14ac:dyDescent="0.35">
      <c r="A8" t="str">
        <v>SQ00612</v>
      </c>
      <c r="B8" t="str">
        <v xml:space="preserve"> Leena Bruckshaw</v>
      </c>
      <c r="C8" t="str">
        <v>Male</v>
      </c>
      <c r="D8" t="str">
        <v>Research and Development</v>
      </c>
      <c r="E8">
        <v>74279.009999999995</v>
      </c>
      <c r="F8" t="str">
        <v>between 50k to 100k</v>
      </c>
      <c r="G8" s="3">
        <v>43466</v>
      </c>
      <c r="H8">
        <v>1</v>
      </c>
      <c r="I8" t="str">
        <v>Permanent</v>
      </c>
      <c r="J8" t="str">
        <v>Wellington, New Zealand</v>
      </c>
    </row>
    <row r="9" spans="1:10" x14ac:dyDescent="0.35">
      <c r="A9" t="str">
        <v>VT02417</v>
      </c>
      <c r="B9" t="str">
        <v>Evangelina Lergan</v>
      </c>
      <c r="C9" t="str">
        <v>Male</v>
      </c>
      <c r="D9" t="str">
        <v>Support</v>
      </c>
      <c r="E9">
        <v>61214.26</v>
      </c>
      <c r="F9" t="str">
        <v>between 50k to 100k</v>
      </c>
      <c r="G9" s="3">
        <v>43171</v>
      </c>
      <c r="H9">
        <v>1</v>
      </c>
      <c r="I9" t="str">
        <v>Temporary</v>
      </c>
      <c r="J9" t="str">
        <v>Auckland, New Zealand</v>
      </c>
    </row>
    <row r="10" spans="1:10" x14ac:dyDescent="0.35">
      <c r="A10" t="str">
        <v>SQ00691</v>
      </c>
      <c r="B10" t="str">
        <v>Verla Timmis</v>
      </c>
      <c r="C10" t="str">
        <v>Male</v>
      </c>
      <c r="D10" t="str">
        <v>Support</v>
      </c>
      <c r="E10">
        <v>54137.05</v>
      </c>
      <c r="F10" t="str">
        <v>between 50k to 100k</v>
      </c>
      <c r="G10" s="3">
        <v>43763</v>
      </c>
      <c r="H10">
        <v>1</v>
      </c>
      <c r="I10" t="str">
        <v>Permanent</v>
      </c>
      <c r="J10" t="str">
        <v>Remote</v>
      </c>
    </row>
    <row r="11" spans="1:10" x14ac:dyDescent="0.35">
      <c r="A11" t="str">
        <v>SQ04598</v>
      </c>
      <c r="B11" t="str">
        <v>Pearla  Beteriss</v>
      </c>
      <c r="C11" t="str">
        <v>Male</v>
      </c>
      <c r="D11" t="str">
        <v>Services</v>
      </c>
      <c r="E11">
        <v>69913.39</v>
      </c>
      <c r="F11" t="str">
        <v>between 50k to 100k</v>
      </c>
      <c r="G11" s="3">
        <v>43584</v>
      </c>
      <c r="H11">
        <v>1</v>
      </c>
      <c r="I11" t="str">
        <v>Permanent</v>
      </c>
      <c r="J11" t="str">
        <v>Remote</v>
      </c>
    </row>
    <row r="12" spans="1:10" x14ac:dyDescent="0.35">
      <c r="A12" t="str">
        <v>TN00464</v>
      </c>
      <c r="B12" t="str">
        <v>Gopal Venkata</v>
      </c>
      <c r="C12" t="str">
        <v>Male</v>
      </c>
      <c r="D12" t="str">
        <v>Research and Development</v>
      </c>
      <c r="E12">
        <v>52748.63</v>
      </c>
      <c r="F12" t="str">
        <v>between 50k to 100k</v>
      </c>
      <c r="G12" s="3">
        <v>43857</v>
      </c>
      <c r="H12">
        <v>1</v>
      </c>
      <c r="I12" t="str">
        <v>Permanent</v>
      </c>
      <c r="J12" t="str">
        <v>Chennai, India</v>
      </c>
    </row>
    <row r="13" spans="1:10" x14ac:dyDescent="0.35">
      <c r="A13" t="str">
        <v>PR00893</v>
      </c>
      <c r="B13" t="str">
        <v>Vasavi Veeravasarapu</v>
      </c>
      <c r="C13" t="str">
        <v>Male</v>
      </c>
      <c r="D13" t="str">
        <v>Human Resources</v>
      </c>
      <c r="E13">
        <v>50310.09</v>
      </c>
      <c r="F13" t="str">
        <v>between 50k to 100k</v>
      </c>
      <c r="G13" s="3">
        <v>44285</v>
      </c>
      <c r="H13">
        <v>0.4</v>
      </c>
      <c r="I13" t="str">
        <v>Permanent</v>
      </c>
      <c r="J13" t="str">
        <v>Hyderabad, India</v>
      </c>
    </row>
    <row r="14" spans="1:10" x14ac:dyDescent="0.35">
      <c r="A14" t="str">
        <v>PR00882</v>
      </c>
      <c r="B14" t="str">
        <v xml:space="preserve"> Jill Shipsey</v>
      </c>
      <c r="C14" t="str">
        <v>Male</v>
      </c>
      <c r="D14" t="str">
        <v>Accounting</v>
      </c>
      <c r="E14">
        <v>52963.65</v>
      </c>
      <c r="F14" t="str">
        <v>between 50k to 100k</v>
      </c>
      <c r="G14" s="3">
        <v>44288</v>
      </c>
      <c r="H14">
        <v>0.3</v>
      </c>
      <c r="I14" t="str">
        <v>Permanent</v>
      </c>
      <c r="J14" t="str">
        <v>Columbus, USA</v>
      </c>
    </row>
    <row r="15" spans="1:10" x14ac:dyDescent="0.35">
      <c r="A15" t="str">
        <v>PR03445</v>
      </c>
      <c r="B15" t="str">
        <v>Myrle Prandoni</v>
      </c>
      <c r="C15" t="str">
        <v>Male</v>
      </c>
      <c r="D15" t="str">
        <v>Sales</v>
      </c>
      <c r="E15">
        <v>62195.47</v>
      </c>
      <c r="F15" t="str">
        <v>between 50k to 100k</v>
      </c>
      <c r="G15" s="3">
        <v>44434</v>
      </c>
      <c r="H15">
        <v>1</v>
      </c>
      <c r="I15" t="str">
        <v>Permanent</v>
      </c>
      <c r="J15" t="str">
        <v>Remote</v>
      </c>
    </row>
    <row r="16" spans="1:10" x14ac:dyDescent="0.35">
      <c r="A16" t="str">
        <v>PR02288</v>
      </c>
      <c r="B16" t="str">
        <v>Althea  Bronger</v>
      </c>
      <c r="C16" t="str">
        <v>Male</v>
      </c>
      <c r="D16" t="str">
        <v>Product Management</v>
      </c>
      <c r="E16">
        <v>104335.03999999999</v>
      </c>
      <c r="F16" t="str">
        <v>Grater than 100k</v>
      </c>
      <c r="G16" s="3">
        <v>43874</v>
      </c>
      <c r="H16">
        <v>1</v>
      </c>
      <c r="I16" t="str">
        <v>Permanent</v>
      </c>
      <c r="J16" t="str">
        <v>Columbus, USA</v>
      </c>
    </row>
    <row r="17" spans="1:10" x14ac:dyDescent="0.35">
      <c r="A17" t="str">
        <v>VT03849</v>
      </c>
      <c r="B17" t="str">
        <v>Leonidas Cavaney</v>
      </c>
      <c r="C17" t="str">
        <v>Male</v>
      </c>
      <c r="D17" t="str">
        <v>Accounting</v>
      </c>
      <c r="E17">
        <v>52246.29</v>
      </c>
      <c r="F17" t="str">
        <v>between 50k to 100k</v>
      </c>
      <c r="G17" s="3">
        <v>43573</v>
      </c>
      <c r="H17">
        <v>1</v>
      </c>
      <c r="I17" t="str">
        <v>Temporary</v>
      </c>
      <c r="J17" t="str">
        <v>Wellington, New Zealand</v>
      </c>
    </row>
    <row r="18" spans="1:10" x14ac:dyDescent="0.35">
      <c r="A18" t="str">
        <v>SQ01395</v>
      </c>
      <c r="B18" t="str">
        <v>Dennison Crosswaite</v>
      </c>
      <c r="C18" t="str">
        <v>Male</v>
      </c>
      <c r="D18" t="str">
        <v>Legal</v>
      </c>
      <c r="E18">
        <v>90697.67</v>
      </c>
      <c r="F18" t="str">
        <v>between 50k to 100k</v>
      </c>
      <c r="G18" s="3">
        <v>44221</v>
      </c>
      <c r="H18">
        <v>0.8</v>
      </c>
      <c r="I18" t="str">
        <v>Permanent</v>
      </c>
      <c r="J18" t="str">
        <v>Seattle, USA</v>
      </c>
    </row>
    <row r="19" spans="1:10" x14ac:dyDescent="0.35">
      <c r="A19" t="str">
        <v>SQ02559</v>
      </c>
      <c r="B19" t="str">
        <v>Aldrich  Glenny</v>
      </c>
      <c r="C19" t="str">
        <v>Male</v>
      </c>
      <c r="D19" t="str">
        <v>Business Development</v>
      </c>
      <c r="E19">
        <v>90884.32</v>
      </c>
      <c r="F19" t="str">
        <v>between 50k to 100k</v>
      </c>
      <c r="G19" s="3">
        <v>43826</v>
      </c>
      <c r="H19">
        <v>1</v>
      </c>
      <c r="I19" t="str">
        <v>Permanent</v>
      </c>
      <c r="J19" t="str">
        <v>Columbus, USA</v>
      </c>
    </row>
    <row r="20" spans="1:10" x14ac:dyDescent="0.35">
      <c r="A20" t="str">
        <v>VT04627</v>
      </c>
      <c r="B20" t="str">
        <v>Yvette  Bett</v>
      </c>
      <c r="C20" t="str">
        <v>Male</v>
      </c>
      <c r="D20" t="str">
        <v>Human Resources</v>
      </c>
      <c r="E20">
        <v>76320.44</v>
      </c>
      <c r="F20" t="str">
        <v>between 50k to 100k</v>
      </c>
      <c r="G20" s="3">
        <v>44383</v>
      </c>
      <c r="H20">
        <v>0.8</v>
      </c>
      <c r="I20" t="str">
        <v>Temporary</v>
      </c>
      <c r="J20" t="str">
        <v>Remote</v>
      </c>
    </row>
    <row r="21" spans="1:10" x14ac:dyDescent="0.35">
      <c r="A21" t="str">
        <v>VT03537</v>
      </c>
      <c r="B21" t="str">
        <v>Renaldo Thomassin</v>
      </c>
      <c r="C21" t="str">
        <v>Male</v>
      </c>
      <c r="D21" t="str">
        <v>Business Development</v>
      </c>
      <c r="E21">
        <v>73360.38</v>
      </c>
      <c r="F21" t="str">
        <v>between 50k to 100k</v>
      </c>
      <c r="G21" s="3">
        <v>43972</v>
      </c>
      <c r="H21">
        <v>1</v>
      </c>
      <c r="I21" t="str">
        <v>Temporary</v>
      </c>
      <c r="J21" t="str">
        <v>Remote</v>
      </c>
    </row>
    <row r="22" spans="1:10" x14ac:dyDescent="0.35">
      <c r="A22" t="str">
        <v>VT02313</v>
      </c>
      <c r="B22" t="str">
        <v>Thekla Lynnett</v>
      </c>
      <c r="C22" t="str">
        <v>Male</v>
      </c>
      <c r="D22" t="str">
        <v>Training</v>
      </c>
      <c r="E22">
        <v>53949.26</v>
      </c>
      <c r="F22" t="str">
        <v>between 50k to 100k</v>
      </c>
      <c r="G22" s="3">
        <v>43808</v>
      </c>
      <c r="H22">
        <v>1</v>
      </c>
      <c r="I22" t="str">
        <v>Temporary</v>
      </c>
      <c r="J22" t="str">
        <v>Columbus, USA</v>
      </c>
    </row>
    <row r="23" spans="1:10" x14ac:dyDescent="0.35">
      <c r="A23" t="str">
        <v>SQ01620</v>
      </c>
      <c r="B23" t="str">
        <v>Westbrook Brandino</v>
      </c>
      <c r="C23" t="str">
        <v>Male</v>
      </c>
      <c r="D23" t="str">
        <v>Legal</v>
      </c>
      <c r="E23">
        <v>113616.23</v>
      </c>
      <c r="F23" t="str">
        <v>Grater than 100k</v>
      </c>
      <c r="G23" s="3">
        <v>43255</v>
      </c>
      <c r="H23">
        <v>1</v>
      </c>
      <c r="I23" t="str">
        <v>Permanent</v>
      </c>
      <c r="J23" t="str">
        <v>Remote</v>
      </c>
    </row>
    <row r="24" spans="1:10" x14ac:dyDescent="0.35">
      <c r="A24" t="str">
        <v>VT02801</v>
      </c>
      <c r="B24" t="str">
        <v>Shellysheldon Mahady</v>
      </c>
      <c r="C24" t="str">
        <v>Male</v>
      </c>
      <c r="D24" t="str">
        <v>Training</v>
      </c>
      <c r="E24">
        <v>114691.03</v>
      </c>
      <c r="F24" t="str">
        <v>Grater than 100k</v>
      </c>
      <c r="G24" s="3">
        <v>44039</v>
      </c>
      <c r="H24">
        <v>1</v>
      </c>
      <c r="I24" t="str">
        <v>Temporary</v>
      </c>
      <c r="J24" t="str">
        <v>Wellington, New Zealand</v>
      </c>
    </row>
    <row r="25" spans="1:10" x14ac:dyDescent="0.35">
      <c r="A25" t="str">
        <v>SQ01177</v>
      </c>
      <c r="B25" t="str">
        <v>Nazeer Basha Mustafa</v>
      </c>
      <c r="C25" t="str">
        <v>Male</v>
      </c>
      <c r="D25" t="str">
        <v>Human Resources</v>
      </c>
      <c r="E25">
        <v>86556.96</v>
      </c>
      <c r="F25" t="str">
        <v>between 50k to 100k</v>
      </c>
      <c r="G25" s="3">
        <v>44104</v>
      </c>
      <c r="H25">
        <v>1</v>
      </c>
      <c r="I25" t="str">
        <v>Permanent</v>
      </c>
      <c r="J25" t="str">
        <v>Hyderabad, India</v>
      </c>
    </row>
    <row r="26" spans="1:10" x14ac:dyDescent="0.35">
      <c r="A26" t="str">
        <v>TN01876</v>
      </c>
      <c r="B26" t="str">
        <v>Aileen McCritchie</v>
      </c>
      <c r="C26" t="str">
        <v>Male</v>
      </c>
      <c r="D26" t="str">
        <v>Business Development</v>
      </c>
      <c r="E26">
        <v>80169.42</v>
      </c>
      <c r="F26" t="str">
        <v>between 50k to 100k</v>
      </c>
      <c r="G26" s="3">
        <v>44053</v>
      </c>
      <c r="H26">
        <v>1</v>
      </c>
      <c r="I26" t="str">
        <v>Permanent</v>
      </c>
      <c r="J26" t="str">
        <v>Auckland, New Zealand</v>
      </c>
    </row>
    <row r="27" spans="1:10" x14ac:dyDescent="0.35">
      <c r="A27" t="str">
        <v>VT02313</v>
      </c>
      <c r="B27" t="str">
        <v>Thekla Lynnett</v>
      </c>
      <c r="C27" t="str">
        <v>Male</v>
      </c>
      <c r="D27" t="str">
        <v>Training</v>
      </c>
      <c r="E27">
        <v>53949.26</v>
      </c>
      <c r="F27" t="str">
        <v>between 50k to 100k</v>
      </c>
      <c r="G27" s="3">
        <v>43808</v>
      </c>
      <c r="H27">
        <v>1</v>
      </c>
      <c r="I27" t="str">
        <v>Temporary</v>
      </c>
      <c r="J27" t="str">
        <v>Columbus, USA</v>
      </c>
    </row>
    <row r="28" spans="1:10" x14ac:dyDescent="0.35">
      <c r="A28" t="str">
        <v>VT01092</v>
      </c>
      <c r="B28" t="str">
        <v>Tabby  Astall</v>
      </c>
      <c r="C28" t="str">
        <v>Male</v>
      </c>
      <c r="D28" t="str">
        <v>Accounting</v>
      </c>
      <c r="E28">
        <v>57419.35</v>
      </c>
      <c r="F28" t="str">
        <v>between 50k to 100k</v>
      </c>
      <c r="G28" s="3">
        <v>43305</v>
      </c>
      <c r="H28">
        <v>1</v>
      </c>
      <c r="I28" t="str">
        <v>Fixed Term</v>
      </c>
      <c r="J28" t="str">
        <v>Auckland, New Zealand</v>
      </c>
    </row>
    <row r="29" spans="1:10" x14ac:dyDescent="0.35">
      <c r="A29" t="str">
        <v>SQ01637</v>
      </c>
      <c r="B29" t="str">
        <v xml:space="preserve"> Joaquin McVitty</v>
      </c>
      <c r="C29" t="str">
        <v>Male</v>
      </c>
      <c r="D29" t="str">
        <v>Sales</v>
      </c>
      <c r="E29">
        <v>68860.399999999994</v>
      </c>
      <c r="F29" t="str">
        <v>between 50k to 100k</v>
      </c>
      <c r="G29" s="3">
        <v>43508</v>
      </c>
      <c r="H29">
        <v>0.4</v>
      </c>
      <c r="I29" t="str">
        <v>Permanent</v>
      </c>
      <c r="J29" t="str">
        <v>Columbus, USA</v>
      </c>
    </row>
    <row r="30" spans="1:10" x14ac:dyDescent="0.35">
      <c r="A30" t="str">
        <v>TN03210</v>
      </c>
      <c r="B30" t="str">
        <v>Suman Katte</v>
      </c>
      <c r="C30" t="str">
        <v>Male</v>
      </c>
      <c r="D30" t="str">
        <v>Training</v>
      </c>
      <c r="E30">
        <v>79567.69</v>
      </c>
      <c r="F30" t="str">
        <v>between 50k to 100k</v>
      </c>
      <c r="G30" s="3">
        <v>43272</v>
      </c>
      <c r="H30">
        <v>1</v>
      </c>
      <c r="I30" t="str">
        <v>Fixed Term</v>
      </c>
      <c r="J30" t="str">
        <v>Chennai, India</v>
      </c>
    </row>
    <row r="31" spans="1:10" x14ac:dyDescent="0.35">
      <c r="A31" t="str">
        <v>SQ02246</v>
      </c>
      <c r="B31" t="str">
        <v xml:space="preserve">Matias Cormack </v>
      </c>
      <c r="C31" t="str">
        <v>Male</v>
      </c>
      <c r="D31" t="str">
        <v>Research and Development</v>
      </c>
      <c r="E31">
        <v>85455.53</v>
      </c>
      <c r="F31" t="str">
        <v>between 50k to 100k</v>
      </c>
      <c r="G31" s="3">
        <v>43839</v>
      </c>
      <c r="H31">
        <v>1</v>
      </c>
      <c r="I31" t="str">
        <v>Permanent</v>
      </c>
      <c r="J31" t="str">
        <v>Wellington, New Zealand</v>
      </c>
    </row>
    <row r="32" spans="1:10" x14ac:dyDescent="0.35">
      <c r="A32" t="str">
        <v>SQ02525</v>
      </c>
      <c r="B32" t="str">
        <v>Mickie Dagwell</v>
      </c>
      <c r="C32" t="str">
        <v>Male</v>
      </c>
      <c r="D32" t="str">
        <v>Engineering</v>
      </c>
      <c r="E32">
        <v>50855.53</v>
      </c>
      <c r="F32" t="str">
        <v>between 50k to 100k</v>
      </c>
      <c r="G32" s="3">
        <v>44221</v>
      </c>
      <c r="H32">
        <v>1</v>
      </c>
      <c r="I32" t="str">
        <v>Permanent</v>
      </c>
      <c r="J32" t="str">
        <v>Wellington, New Zealand</v>
      </c>
    </row>
    <row r="33" spans="1:10" x14ac:dyDescent="0.35">
      <c r="A33" t="str">
        <v>TN03331</v>
      </c>
      <c r="B33" t="str">
        <v>Crawford Scad</v>
      </c>
      <c r="C33" t="str">
        <v>Male</v>
      </c>
      <c r="D33" t="str">
        <v>Human Resources</v>
      </c>
      <c r="E33">
        <v>72876.91</v>
      </c>
      <c r="F33" t="str">
        <v>between 50k to 100k</v>
      </c>
      <c r="G33">
        <v>43612</v>
      </c>
      <c r="H33">
        <v>0.4</v>
      </c>
      <c r="I33" t="str">
        <v>Fixed Term</v>
      </c>
      <c r="J33" t="str">
        <v>Auckland, New Zealand</v>
      </c>
    </row>
    <row r="34" spans="1:10" x14ac:dyDescent="0.35">
      <c r="A34" t="str">
        <v>VT03421</v>
      </c>
      <c r="B34" t="str">
        <v>Alic Bagg</v>
      </c>
      <c r="C34" t="str">
        <v>Male</v>
      </c>
      <c r="D34" t="str">
        <v>Legal</v>
      </c>
      <c r="E34">
        <v>113747.56</v>
      </c>
      <c r="F34" t="str">
        <v>Grater than 100k</v>
      </c>
      <c r="G34">
        <v>44270</v>
      </c>
      <c r="H34">
        <v>0.7</v>
      </c>
      <c r="I34" t="str">
        <v>Temporary</v>
      </c>
      <c r="J34" t="str">
        <v>Columbus, USA</v>
      </c>
    </row>
    <row r="35" spans="1:10" x14ac:dyDescent="0.35">
      <c r="A35" t="str">
        <v>PR01346</v>
      </c>
      <c r="B35" t="str">
        <v>Adolph McNalley</v>
      </c>
      <c r="C35" t="str">
        <v>Male</v>
      </c>
      <c r="D35" t="str">
        <v>Business Development</v>
      </c>
      <c r="E35">
        <v>85918.61</v>
      </c>
      <c r="F35" t="str">
        <v>between 50k to 100k</v>
      </c>
      <c r="G35">
        <v>43136</v>
      </c>
      <c r="H35">
        <v>1</v>
      </c>
      <c r="I35" t="str">
        <v>Permanent</v>
      </c>
      <c r="J35" t="str">
        <v>Columbus, USA</v>
      </c>
    </row>
    <row r="36" spans="1:10" x14ac:dyDescent="0.35">
      <c r="A36" t="str">
        <v>VT02491</v>
      </c>
      <c r="B36" t="str">
        <v>Alexis Gotfrey</v>
      </c>
      <c r="C36" t="str">
        <v>Male</v>
      </c>
      <c r="D36" t="str">
        <v>Engineering</v>
      </c>
      <c r="E36">
        <v>114465.93</v>
      </c>
      <c r="F36" t="str">
        <v>Grater than 100k</v>
      </c>
      <c r="G36">
        <v>43291</v>
      </c>
      <c r="H36">
        <v>1</v>
      </c>
      <c r="I36" t="str">
        <v>Temporary</v>
      </c>
      <c r="J36" t="str">
        <v>Wellington, New Zealand</v>
      </c>
    </row>
    <row r="37" spans="1:10" x14ac:dyDescent="0.35">
      <c r="A37" t="str">
        <v>PR03980</v>
      </c>
      <c r="B37" t="str">
        <v xml:space="preserve"> Kath Bletsoe</v>
      </c>
      <c r="C37" t="str">
        <v>Male</v>
      </c>
      <c r="D37" t="str">
        <v>Marketing</v>
      </c>
      <c r="E37">
        <v>65699.02</v>
      </c>
      <c r="F37" t="str">
        <v>between 50k to 100k</v>
      </c>
      <c r="G37">
        <v>43951</v>
      </c>
      <c r="H37">
        <v>1</v>
      </c>
      <c r="I37" t="str">
        <v>Permanent</v>
      </c>
      <c r="J37" t="str">
        <v>Columbus, USA</v>
      </c>
    </row>
    <row r="38" spans="1:10" x14ac:dyDescent="0.35">
      <c r="A38" t="str">
        <v>VT03307</v>
      </c>
      <c r="B38" t="str">
        <v>Tallie Chaikovski</v>
      </c>
      <c r="C38" t="str">
        <v>Male</v>
      </c>
      <c r="D38" t="str">
        <v>Sales</v>
      </c>
      <c r="E38">
        <v>83191.95</v>
      </c>
      <c r="F38" t="str">
        <v>between 50k to 100k</v>
      </c>
      <c r="G38">
        <v>43700</v>
      </c>
      <c r="H38">
        <v>0.6</v>
      </c>
      <c r="I38" t="str">
        <v>Temporary</v>
      </c>
      <c r="J38" t="str">
        <v>Remote</v>
      </c>
    </row>
    <row r="39" spans="1:10" x14ac:dyDescent="0.35">
      <c r="A39" t="str">
        <v>TN04058</v>
      </c>
      <c r="B39" t="str">
        <v>Subbarao Malladi</v>
      </c>
      <c r="C39" t="str">
        <v>Male</v>
      </c>
      <c r="D39" t="str">
        <v>Product Management</v>
      </c>
      <c r="E39">
        <v>106775.14</v>
      </c>
      <c r="F39" t="str">
        <v>Grater than 100k</v>
      </c>
      <c r="G39">
        <v>43563</v>
      </c>
      <c r="H39">
        <v>1</v>
      </c>
      <c r="I39" t="str">
        <v>Fixed Term</v>
      </c>
      <c r="J39" t="str">
        <v>Hyderabad, India</v>
      </c>
    </row>
    <row r="40" spans="1:10" x14ac:dyDescent="0.35">
      <c r="A40" t="str">
        <v>VT03993</v>
      </c>
      <c r="B40" t="str">
        <v>Dulce Colbeck</v>
      </c>
      <c r="C40" t="str">
        <v>Male</v>
      </c>
      <c r="D40" t="str">
        <v>Human Resources</v>
      </c>
      <c r="E40">
        <v>83396.5</v>
      </c>
      <c r="F40" t="str">
        <v>between 50k to 100k</v>
      </c>
      <c r="G40">
        <v>44285</v>
      </c>
      <c r="H40">
        <v>1</v>
      </c>
      <c r="I40" t="str">
        <v>Temporary</v>
      </c>
      <c r="J40" t="str">
        <v>Auckland, New Zealand</v>
      </c>
    </row>
    <row r="41" spans="1:10" x14ac:dyDescent="0.35">
      <c r="A41" t="str">
        <v>PR01159</v>
      </c>
      <c r="B41" t="str">
        <v>Mollie  Hanway</v>
      </c>
      <c r="C41" t="str">
        <v>Male</v>
      </c>
      <c r="D41" t="str">
        <v>Engineering</v>
      </c>
      <c r="E41">
        <v>112645.99</v>
      </c>
      <c r="F41" t="str">
        <v>Grater than 100k</v>
      </c>
      <c r="G41">
        <v>43759</v>
      </c>
      <c r="H41">
        <v>0.6</v>
      </c>
      <c r="I41" t="str">
        <v>Permanent</v>
      </c>
      <c r="J41" t="str">
        <v>Seattle, USA</v>
      </c>
    </row>
    <row r="42" spans="1:10" x14ac:dyDescent="0.35">
      <c r="A42" t="str">
        <v>PR01211</v>
      </c>
      <c r="B42" t="str">
        <v>Enoch Dowrey</v>
      </c>
      <c r="C42" t="str">
        <v>Male</v>
      </c>
      <c r="D42" t="str">
        <v>Accounting</v>
      </c>
      <c r="E42">
        <v>91645.04</v>
      </c>
      <c r="F42" t="str">
        <v>between 50k to 100k</v>
      </c>
      <c r="G42">
        <v>44223</v>
      </c>
      <c r="H42">
        <v>1</v>
      </c>
      <c r="I42" t="str">
        <v>Permanent</v>
      </c>
      <c r="J42" t="str">
        <v>Auckland, New Zealand</v>
      </c>
    </row>
    <row r="43" spans="1:10" x14ac:dyDescent="0.35">
      <c r="A43" t="str">
        <v>TN01876</v>
      </c>
      <c r="B43" t="str">
        <v>Aileen McCritchie</v>
      </c>
      <c r="C43" t="str">
        <v>Male</v>
      </c>
      <c r="D43" t="str">
        <v>Business Development</v>
      </c>
      <c r="E43">
        <v>80169.42</v>
      </c>
      <c r="F43" t="str">
        <v>between 50k to 100k</v>
      </c>
      <c r="G43">
        <v>44053</v>
      </c>
      <c r="H43">
        <v>1</v>
      </c>
      <c r="I43" t="str">
        <v>Permanent</v>
      </c>
      <c r="J43" t="str">
        <v>Auckland, New Zealand</v>
      </c>
    </row>
    <row r="44" spans="1:10" x14ac:dyDescent="0.35">
      <c r="A44" t="str">
        <v>PR03804</v>
      </c>
      <c r="B44" t="str">
        <v>Pratigya Rema</v>
      </c>
      <c r="C44" t="str">
        <v>Male</v>
      </c>
      <c r="D44" t="str">
        <v>Legal</v>
      </c>
      <c r="E44">
        <v>66572.58</v>
      </c>
      <c r="F44" t="str">
        <v>between 50k to 100k</v>
      </c>
      <c r="G44">
        <v>44193</v>
      </c>
      <c r="H44">
        <v>1</v>
      </c>
      <c r="I44" t="str">
        <v>Permanent</v>
      </c>
      <c r="J44" t="str">
        <v>Chennai, India</v>
      </c>
    </row>
    <row r="45" spans="1:10" x14ac:dyDescent="0.35">
      <c r="A45" t="str">
        <v>SQ04488</v>
      </c>
      <c r="B45" t="str">
        <v>Ramnath Ravuri</v>
      </c>
      <c r="C45" t="str">
        <v>Male</v>
      </c>
      <c r="D45" t="str">
        <v>Marketing</v>
      </c>
      <c r="E45">
        <v>76932.600000000006</v>
      </c>
      <c r="F45" t="str">
        <v>between 50k to 100k</v>
      </c>
      <c r="G45">
        <v>43493</v>
      </c>
      <c r="H45">
        <v>1</v>
      </c>
      <c r="I45" t="str">
        <v>Permanent</v>
      </c>
      <c r="J45" t="str">
        <v>Hyderabad, India</v>
      </c>
    </row>
    <row r="46" spans="1:10" x14ac:dyDescent="0.35">
      <c r="A46" t="str">
        <v>TN00735</v>
      </c>
      <c r="B46" t="str">
        <v>Caresa Christer</v>
      </c>
      <c r="C46" t="str">
        <v>Male</v>
      </c>
      <c r="D46" t="str">
        <v>Support</v>
      </c>
      <c r="E46">
        <v>59258.19</v>
      </c>
      <c r="F46" t="str">
        <v>between 50k to 100k</v>
      </c>
      <c r="G46">
        <v>43452</v>
      </c>
      <c r="H46">
        <v>0.8</v>
      </c>
      <c r="I46" t="str">
        <v>Permanent</v>
      </c>
      <c r="J46" t="str">
        <v>Seattle, USA</v>
      </c>
    </row>
    <row r="47" spans="1:10" x14ac:dyDescent="0.35">
      <c r="A47" t="str">
        <v>VT01893</v>
      </c>
      <c r="B47" t="str">
        <v>Lindy Guillet</v>
      </c>
      <c r="C47" t="str">
        <v>Male</v>
      </c>
      <c r="D47" t="str">
        <v>Training</v>
      </c>
      <c r="E47">
        <v>112778.28</v>
      </c>
      <c r="F47" t="str">
        <v>Grater than 100k</v>
      </c>
      <c r="G47">
        <v>43250</v>
      </c>
      <c r="H47">
        <v>1</v>
      </c>
      <c r="I47" t="str">
        <v>Fixed Term</v>
      </c>
      <c r="J47" t="str">
        <v>Remote</v>
      </c>
    </row>
    <row r="48" spans="1:10" x14ac:dyDescent="0.35">
      <c r="A48" t="str">
        <v>PR02010</v>
      </c>
      <c r="B48" t="str">
        <v>Prerana Nishita</v>
      </c>
      <c r="C48" t="str">
        <v>Male</v>
      </c>
      <c r="D48" t="str">
        <v>Product Management</v>
      </c>
      <c r="E48">
        <v>115191.38</v>
      </c>
      <c r="F48" t="str">
        <v>Grater than 100k</v>
      </c>
      <c r="G48">
        <v>44004</v>
      </c>
      <c r="H48">
        <v>1</v>
      </c>
      <c r="I48" t="str">
        <v>Permanent</v>
      </c>
      <c r="J48" t="str">
        <v>Hyderabad, India</v>
      </c>
    </row>
    <row r="49" spans="1:10" x14ac:dyDescent="0.35">
      <c r="A49" t="str">
        <v>SQ01697</v>
      </c>
      <c r="B49" t="str">
        <v>Makshi Vinutha</v>
      </c>
      <c r="C49" t="str">
        <v>Male</v>
      </c>
      <c r="D49" t="str">
        <v>Business Development</v>
      </c>
      <c r="E49">
        <v>71371.37</v>
      </c>
      <c r="F49" t="str">
        <v>between 50k to 100k</v>
      </c>
      <c r="G49">
        <v>43392</v>
      </c>
      <c r="H49">
        <v>1</v>
      </c>
      <c r="I49" t="str">
        <v>Permanent</v>
      </c>
      <c r="J49" t="str">
        <v>Hyderabad, India</v>
      </c>
    </row>
    <row r="50" spans="1:10" x14ac:dyDescent="0.35">
      <c r="A50" t="str">
        <v>SQ02559</v>
      </c>
      <c r="B50" t="str">
        <v>Aldrich  Glenny</v>
      </c>
      <c r="C50" t="str">
        <v>Male</v>
      </c>
      <c r="D50" t="str">
        <v>Business Development</v>
      </c>
      <c r="E50">
        <v>90884.32</v>
      </c>
      <c r="F50" t="str">
        <v>between 50k to 100k</v>
      </c>
      <c r="G50">
        <v>43826</v>
      </c>
      <c r="H50">
        <v>1</v>
      </c>
      <c r="I50" t="str">
        <v>Permanent</v>
      </c>
      <c r="J50" t="str">
        <v>Columbus, USA</v>
      </c>
    </row>
    <row r="51" spans="1:10" x14ac:dyDescent="0.35">
      <c r="A51" t="str">
        <v>TN01210</v>
      </c>
      <c r="B51" t="str">
        <v>Alyosha Riquet</v>
      </c>
      <c r="C51" t="str">
        <v>Male</v>
      </c>
      <c r="D51" t="str">
        <v>Legal</v>
      </c>
      <c r="E51">
        <v>89838.77</v>
      </c>
      <c r="F51" t="str">
        <v>between 50k to 100k</v>
      </c>
      <c r="G51">
        <v>43602</v>
      </c>
      <c r="H51">
        <v>1</v>
      </c>
      <c r="I51" t="str">
        <v>Permanent</v>
      </c>
      <c r="J51" t="str">
        <v>Remote</v>
      </c>
    </row>
    <row r="52" spans="1:10" x14ac:dyDescent="0.35">
      <c r="A52" t="str">
        <v>TN04058</v>
      </c>
      <c r="B52" t="str">
        <v>Vasu Nandin</v>
      </c>
      <c r="C52" t="str">
        <v>Male</v>
      </c>
      <c r="D52" t="str">
        <v>Product Management</v>
      </c>
      <c r="E52">
        <v>106775.14</v>
      </c>
      <c r="F52" t="str">
        <v>Grater than 100k</v>
      </c>
      <c r="G52">
        <v>43563</v>
      </c>
      <c r="H52">
        <v>1</v>
      </c>
      <c r="I52" t="str">
        <v>Fixed Term</v>
      </c>
      <c r="J52" t="str">
        <v>Hyderabad, India</v>
      </c>
    </row>
    <row r="53" spans="1:10" x14ac:dyDescent="0.35">
      <c r="A53" t="str">
        <v>SQ04603</v>
      </c>
      <c r="B53" t="str">
        <v>Natalee Craiker</v>
      </c>
      <c r="C53" t="str">
        <v>Male</v>
      </c>
      <c r="D53" t="str">
        <v>Product Management</v>
      </c>
      <c r="E53">
        <v>111229.47</v>
      </c>
      <c r="F53" t="str">
        <v>Grater than 100k</v>
      </c>
      <c r="G53">
        <v>43402</v>
      </c>
      <c r="H53">
        <v>1</v>
      </c>
      <c r="I53" t="str">
        <v>Permanent</v>
      </c>
      <c r="J53" t="str">
        <v>Remote</v>
      </c>
    </row>
    <row r="54" spans="1:10" x14ac:dyDescent="0.35">
      <c r="A54" t="str">
        <v>TN01028</v>
      </c>
      <c r="B54" t="str">
        <v>Alicea Pudsall</v>
      </c>
      <c r="C54" t="str">
        <v>Male</v>
      </c>
      <c r="D54" t="str">
        <v>Accounting</v>
      </c>
      <c r="E54">
        <v>67633.850000000006</v>
      </c>
      <c r="F54" t="str">
        <v>between 50k to 100k</v>
      </c>
      <c r="G54">
        <v>43340</v>
      </c>
      <c r="H54">
        <v>1</v>
      </c>
      <c r="I54" t="str">
        <v>Permanent</v>
      </c>
      <c r="J54" t="str">
        <v>Columbus, USA</v>
      </c>
    </row>
    <row r="55" spans="1:10" x14ac:dyDescent="0.35">
      <c r="A55" t="str">
        <v>VT04028</v>
      </c>
      <c r="B55" t="str">
        <v>Michale Rolf</v>
      </c>
      <c r="C55" t="str">
        <v>Male</v>
      </c>
      <c r="D55" t="str">
        <v>Services</v>
      </c>
      <c r="E55">
        <v>111815.49</v>
      </c>
      <c r="F55" t="str">
        <v>Grater than 100k</v>
      </c>
      <c r="G55">
        <v>43895</v>
      </c>
      <c r="H55">
        <v>0.7</v>
      </c>
      <c r="I55" t="str">
        <v>Temporary</v>
      </c>
      <c r="J55" t="str">
        <v>Remote</v>
      </c>
    </row>
    <row r="56" spans="1:10" x14ac:dyDescent="0.35">
      <c r="A56" t="str">
        <v>VT04028</v>
      </c>
      <c r="B56" t="str">
        <v>Michale Rolf</v>
      </c>
      <c r="C56" t="str">
        <v>Male</v>
      </c>
      <c r="D56" t="str">
        <v>Services</v>
      </c>
      <c r="E56">
        <v>111815.49</v>
      </c>
      <c r="F56" t="str">
        <v>Grater than 100k</v>
      </c>
      <c r="G56">
        <v>43895</v>
      </c>
      <c r="H56">
        <v>0.7</v>
      </c>
      <c r="I56" t="str">
        <v>Temporary</v>
      </c>
      <c r="J56" t="str">
        <v>Remote</v>
      </c>
    </row>
    <row r="57" spans="1:10" x14ac:dyDescent="0.35">
      <c r="A57" t="str">
        <v>TN04101</v>
      </c>
      <c r="B57" t="str">
        <v>Marline Wahncke</v>
      </c>
      <c r="C57" t="str">
        <v>Male</v>
      </c>
      <c r="D57" t="str">
        <v>Legal</v>
      </c>
      <c r="E57">
        <v>72843.23</v>
      </c>
      <c r="F57" t="str">
        <v>between 50k to 100k</v>
      </c>
      <c r="G57">
        <v>43280</v>
      </c>
      <c r="H57">
        <v>1</v>
      </c>
      <c r="I57" t="str">
        <v>Fixed Term</v>
      </c>
      <c r="J57" t="str">
        <v>Wellington, New Zealand</v>
      </c>
    </row>
    <row r="58" spans="1:10" x14ac:dyDescent="0.35">
      <c r="A58" t="str">
        <v>TN01632</v>
      </c>
      <c r="B58" t="str">
        <v>Katya Hundy</v>
      </c>
      <c r="C58" t="str">
        <v>Male</v>
      </c>
      <c r="D58" t="str">
        <v>Business Development</v>
      </c>
      <c r="E58">
        <v>88511.17</v>
      </c>
      <c r="F58" t="str">
        <v>between 50k to 100k</v>
      </c>
      <c r="G58">
        <v>43950</v>
      </c>
      <c r="H58">
        <v>1</v>
      </c>
      <c r="I58" t="str">
        <v>Permanent</v>
      </c>
      <c r="J58" t="str">
        <v>Columbus, USA</v>
      </c>
    </row>
    <row r="59" spans="1:10" x14ac:dyDescent="0.35">
      <c r="A59" t="str">
        <v>PR02140</v>
      </c>
      <c r="B59" t="str">
        <v>Anjushri Chandiramani</v>
      </c>
      <c r="C59" t="str">
        <v>Male</v>
      </c>
      <c r="D59" t="str">
        <v>Accounting</v>
      </c>
      <c r="E59">
        <v>95954.02</v>
      </c>
      <c r="F59" t="str">
        <v>between 50k to 100k</v>
      </c>
      <c r="G59">
        <v>43567</v>
      </c>
      <c r="H59">
        <v>0.3</v>
      </c>
      <c r="I59" t="str">
        <v>Permanent</v>
      </c>
      <c r="J59" t="str">
        <v>Hyderabad, India</v>
      </c>
    </row>
    <row r="60" spans="1:10" x14ac:dyDescent="0.35">
      <c r="A60" t="str">
        <v>TN01340</v>
      </c>
      <c r="B60" t="str">
        <v>Granny Spencelayh</v>
      </c>
      <c r="C60" t="str">
        <v>Male</v>
      </c>
      <c r="D60" t="str">
        <v>Legal</v>
      </c>
      <c r="E60">
        <v>99460.78</v>
      </c>
      <c r="F60" t="str">
        <v>between 50k to 100k</v>
      </c>
      <c r="G60">
        <v>43956</v>
      </c>
      <c r="H60">
        <v>1</v>
      </c>
      <c r="I60" t="str">
        <v>Permanent</v>
      </c>
      <c r="J60" t="str">
        <v>Remote</v>
      </c>
    </row>
    <row r="61" spans="1:10" x14ac:dyDescent="0.35">
      <c r="A61" t="str">
        <v>SQ01026</v>
      </c>
      <c r="B61" t="str">
        <v>Anumati Shyamari Meherhomji</v>
      </c>
      <c r="C61" t="str">
        <v>Male</v>
      </c>
      <c r="D61" t="str">
        <v>Product Management</v>
      </c>
      <c r="E61">
        <v>74924.649999999994</v>
      </c>
      <c r="F61" t="str">
        <v>between 50k to 100k</v>
      </c>
      <c r="G61">
        <v>44239</v>
      </c>
      <c r="H61">
        <v>1</v>
      </c>
      <c r="I61" t="str">
        <v>Permanent</v>
      </c>
      <c r="J61" t="str">
        <v>Hyderabad, India</v>
      </c>
    </row>
    <row r="62" spans="1:10" x14ac:dyDescent="0.35">
      <c r="A62" t="str">
        <v>TN01912</v>
      </c>
      <c r="B62" t="str">
        <v xml:space="preserve"> Fred Dudeney</v>
      </c>
      <c r="C62" t="str">
        <v>Male</v>
      </c>
      <c r="D62" t="str">
        <v>Services</v>
      </c>
      <c r="E62">
        <v>88689.09</v>
      </c>
      <c r="F62" t="str">
        <v>between 50k to 100k</v>
      </c>
      <c r="G62">
        <v>43740</v>
      </c>
      <c r="H62">
        <v>1</v>
      </c>
      <c r="I62" t="str">
        <v>Permanent</v>
      </c>
      <c r="J62" t="str">
        <v>Seattle, USA</v>
      </c>
    </row>
    <row r="63" spans="1:10" x14ac:dyDescent="0.35">
      <c r="A63" t="str">
        <v>SQ00022</v>
      </c>
      <c r="B63" t="str">
        <v>Carlin Demke</v>
      </c>
      <c r="C63" t="str">
        <v>Male</v>
      </c>
      <c r="D63" t="str">
        <v>Business Development</v>
      </c>
      <c r="E63">
        <v>110042.37</v>
      </c>
      <c r="F63" t="str">
        <v>Grater than 100k</v>
      </c>
      <c r="G63">
        <v>43914</v>
      </c>
      <c r="H63">
        <v>1</v>
      </c>
      <c r="I63" t="str">
        <v>Permanent</v>
      </c>
      <c r="J63" t="str">
        <v>Columbus, USA</v>
      </c>
    </row>
    <row r="64" spans="1:10" x14ac:dyDescent="0.35">
      <c r="A64" t="str">
        <v>SQ03116</v>
      </c>
      <c r="B64" t="str">
        <v>Syd Fearn</v>
      </c>
      <c r="C64" t="str">
        <v>Male</v>
      </c>
      <c r="D64" t="str">
        <v>Engineering</v>
      </c>
      <c r="E64">
        <v>108872.77</v>
      </c>
      <c r="F64" t="str">
        <v>Grater than 100k</v>
      </c>
      <c r="G64">
        <v>43521</v>
      </c>
      <c r="H64">
        <v>1</v>
      </c>
      <c r="I64" t="str">
        <v>Permanent</v>
      </c>
      <c r="J64" t="str">
        <v>Remote</v>
      </c>
    </row>
    <row r="65" spans="1:10" x14ac:dyDescent="0.35">
      <c r="A65" t="str">
        <v>SQ02638</v>
      </c>
      <c r="B65" t="str">
        <v>Cara Havers</v>
      </c>
      <c r="C65" t="str">
        <v>Male</v>
      </c>
      <c r="D65" t="str">
        <v>Marketing</v>
      </c>
      <c r="E65">
        <v>89605.13</v>
      </c>
      <c r="F65" t="str">
        <v>between 50k to 100k</v>
      </c>
      <c r="G65">
        <v>43258</v>
      </c>
      <c r="H65">
        <v>1</v>
      </c>
      <c r="I65" t="str">
        <v>Permanent</v>
      </c>
      <c r="J65" t="str">
        <v>Seattle, USA</v>
      </c>
    </row>
    <row r="66" spans="1:10" x14ac:dyDescent="0.35">
      <c r="A66" t="str">
        <v>SQ04665</v>
      </c>
      <c r="B66" t="str">
        <v>Collin Jagson</v>
      </c>
      <c r="C66" t="str">
        <v>Male</v>
      </c>
      <c r="D66" t="str">
        <v>Services</v>
      </c>
      <c r="E66">
        <v>100424.23</v>
      </c>
      <c r="F66" t="str">
        <v>Grater than 100k</v>
      </c>
      <c r="G66">
        <v>43801</v>
      </c>
      <c r="H66">
        <v>1</v>
      </c>
      <c r="I66" t="str">
        <v>Permanent</v>
      </c>
      <c r="J66" t="str">
        <v>Auckland, New Zealand</v>
      </c>
    </row>
    <row r="67" spans="1:10" x14ac:dyDescent="0.35">
      <c r="A67" t="str">
        <v>VT01101</v>
      </c>
      <c r="B67" t="str">
        <v>Adela Dowsett</v>
      </c>
      <c r="C67" t="str">
        <v>Male</v>
      </c>
      <c r="D67" t="str">
        <v>Support</v>
      </c>
      <c r="E67">
        <v>95017.1</v>
      </c>
      <c r="F67" t="str">
        <v>between 50k to 100k</v>
      </c>
      <c r="G67">
        <v>43283</v>
      </c>
      <c r="H67">
        <v>1</v>
      </c>
      <c r="I67" t="str">
        <v>Fixed Term</v>
      </c>
      <c r="J67" t="str">
        <v>Seattle, USA</v>
      </c>
    </row>
    <row r="68" spans="1:10" x14ac:dyDescent="0.35">
      <c r="A68" t="str">
        <v>TN04660</v>
      </c>
      <c r="B68" t="str">
        <v>Thedrick Bothwell</v>
      </c>
      <c r="C68" t="str">
        <v>Male</v>
      </c>
      <c r="D68" t="str">
        <v>Business Development</v>
      </c>
      <c r="E68">
        <v>69764.100000000006</v>
      </c>
      <c r="F68" t="str">
        <v>between 50k to 100k</v>
      </c>
      <c r="G68">
        <v>44195</v>
      </c>
      <c r="H68">
        <v>1</v>
      </c>
      <c r="I68" t="str">
        <v>Fixed Term</v>
      </c>
      <c r="J68" t="str">
        <v>Seattle, USA</v>
      </c>
    </row>
    <row r="69" spans="1:10" x14ac:dyDescent="0.35">
      <c r="A69" t="str">
        <v>TN02674</v>
      </c>
      <c r="B69" t="str">
        <v>Antonetta  Coggeshall</v>
      </c>
      <c r="C69" t="str">
        <v>Male</v>
      </c>
      <c r="D69" t="str">
        <v>Sales</v>
      </c>
      <c r="E69">
        <v>96753.78</v>
      </c>
      <c r="F69" t="str">
        <v>between 50k to 100k</v>
      </c>
      <c r="G69">
        <v>44494</v>
      </c>
      <c r="H69">
        <v>1</v>
      </c>
      <c r="I69" t="str">
        <v>Permanent</v>
      </c>
      <c r="J69" t="str">
        <v>Auckland, New Zealand</v>
      </c>
    </row>
    <row r="70" spans="1:10" x14ac:dyDescent="0.35">
      <c r="A70" t="str">
        <v>VT01893</v>
      </c>
      <c r="B70" t="str">
        <v>Lindy Guillet</v>
      </c>
      <c r="C70" t="str">
        <v>Male</v>
      </c>
      <c r="D70" t="str">
        <v>Training</v>
      </c>
      <c r="E70">
        <v>112778.28</v>
      </c>
      <c r="F70" t="str">
        <v>Grater than 100k</v>
      </c>
      <c r="G70">
        <v>43250</v>
      </c>
      <c r="H70">
        <v>1</v>
      </c>
      <c r="I70" t="str">
        <v>Fixed Term</v>
      </c>
      <c r="J70" t="str">
        <v>Remote</v>
      </c>
    </row>
    <row r="71" spans="1:10" x14ac:dyDescent="0.35">
      <c r="A71" t="str">
        <v>PR03886</v>
      </c>
      <c r="B71" t="str">
        <v>Edd  MacKnockiter</v>
      </c>
      <c r="C71" t="str">
        <v>Male</v>
      </c>
      <c r="D71" t="str">
        <v>Accounting</v>
      </c>
      <c r="E71">
        <v>119022.49</v>
      </c>
      <c r="F71" t="str">
        <v>Grater than 100k</v>
      </c>
      <c r="G71">
        <v>44431</v>
      </c>
      <c r="H71">
        <v>1</v>
      </c>
      <c r="I71" t="str">
        <v>Permanent</v>
      </c>
      <c r="J71" t="str">
        <v>Auckland, New Zealand</v>
      </c>
    </row>
    <row r="72" spans="1:10" x14ac:dyDescent="0.35">
      <c r="A72" t="str">
        <v>SQ02424</v>
      </c>
      <c r="B72" t="str">
        <v>Kevalkumar Solanki</v>
      </c>
      <c r="C72" t="str">
        <v>Male</v>
      </c>
      <c r="D72" t="str">
        <v>Accounting</v>
      </c>
      <c r="E72">
        <v>52270.22</v>
      </c>
      <c r="F72" t="str">
        <v>between 50k to 100k</v>
      </c>
      <c r="G72">
        <v>43521</v>
      </c>
      <c r="H72">
        <v>0.3</v>
      </c>
      <c r="I72" t="str">
        <v>Permanent</v>
      </c>
      <c r="J72" t="str">
        <v>Chennai, India</v>
      </c>
    </row>
    <row r="73" spans="1:10" x14ac:dyDescent="0.35">
      <c r="A73" t="str">
        <v>VT01703</v>
      </c>
      <c r="B73" t="str">
        <v>Upendra Swati</v>
      </c>
      <c r="C73" t="str">
        <v>Male</v>
      </c>
      <c r="D73" t="str">
        <v>Engineering</v>
      </c>
      <c r="E73">
        <v>61624.77</v>
      </c>
      <c r="F73" t="str">
        <v>between 50k to 100k</v>
      </c>
      <c r="G73">
        <v>43430</v>
      </c>
      <c r="H73">
        <v>0.3</v>
      </c>
      <c r="I73" t="str">
        <v>Fixed Term</v>
      </c>
      <c r="J73" t="str">
        <v>Hyderabad, India</v>
      </c>
    </row>
    <row r="74" spans="1:10" x14ac:dyDescent="0.35">
      <c r="A74" t="str">
        <v>TN00735</v>
      </c>
      <c r="B74" t="str">
        <v>Caresa Christer</v>
      </c>
      <c r="C74" t="str">
        <v>Male</v>
      </c>
      <c r="D74" t="str">
        <v>Support</v>
      </c>
      <c r="E74">
        <v>59258.19</v>
      </c>
      <c r="F74" t="str">
        <v>between 50k to 100k</v>
      </c>
      <c r="G74">
        <v>43452</v>
      </c>
      <c r="H74">
        <v>0.8</v>
      </c>
      <c r="I74" t="str">
        <v>Permanent</v>
      </c>
      <c r="J74" t="str">
        <v>Seattle, USA</v>
      </c>
    </row>
    <row r="75" spans="1:10" x14ac:dyDescent="0.35">
      <c r="A75" t="str">
        <v>SQ03733</v>
      </c>
      <c r="B75" t="str">
        <v>Revkah Antonacci</v>
      </c>
      <c r="C75" t="str">
        <v>Male</v>
      </c>
      <c r="D75" t="str">
        <v>Engineering</v>
      </c>
      <c r="E75">
        <v>109143.17</v>
      </c>
      <c r="F75" t="str">
        <v>Grater than 100k</v>
      </c>
      <c r="G75">
        <v>43945</v>
      </c>
      <c r="H75">
        <v>1</v>
      </c>
      <c r="I75" t="str">
        <v>Permanent</v>
      </c>
      <c r="J75" t="str">
        <v>Wellington, New Zealand</v>
      </c>
    </row>
    <row r="76" spans="1:10" x14ac:dyDescent="0.35">
      <c r="A76" t="str">
        <v>VT03537</v>
      </c>
      <c r="B76" t="str">
        <v>Renaldo Thomassin</v>
      </c>
      <c r="C76" t="str">
        <v>Male</v>
      </c>
      <c r="D76" t="str">
        <v>Business Development</v>
      </c>
      <c r="E76">
        <v>73360.38</v>
      </c>
      <c r="F76" t="str">
        <v>between 50k to 100k</v>
      </c>
      <c r="G76">
        <v>43972</v>
      </c>
      <c r="H76">
        <v>1</v>
      </c>
      <c r="I76" t="str">
        <v>Temporary</v>
      </c>
      <c r="J76" t="str">
        <v>Remote</v>
      </c>
    </row>
    <row r="77" spans="1:10" x14ac:dyDescent="0.35">
      <c r="A77" t="str">
        <v>VT00687</v>
      </c>
      <c r="B77" t="str">
        <v>Godavari Veena</v>
      </c>
      <c r="C77" t="str">
        <v>Male</v>
      </c>
      <c r="D77" t="str">
        <v>Engineering</v>
      </c>
      <c r="E77">
        <v>78443.78</v>
      </c>
      <c r="F77" t="str">
        <v>between 50k to 100k</v>
      </c>
      <c r="G77">
        <v>43599</v>
      </c>
      <c r="H77">
        <v>1</v>
      </c>
      <c r="I77" t="str">
        <v>Fixed Term</v>
      </c>
      <c r="J77" t="str">
        <v>Hyderabad, India</v>
      </c>
    </row>
    <row r="78" spans="1:10" x14ac:dyDescent="0.35">
      <c r="A78" t="str">
        <v>TN03355</v>
      </c>
      <c r="B78" t="str">
        <v>Ruby Cracie</v>
      </c>
      <c r="C78" t="str">
        <v>Male</v>
      </c>
      <c r="D78" t="str">
        <v>Research and Development</v>
      </c>
      <c r="E78">
        <v>78705.929999999993</v>
      </c>
      <c r="F78" t="str">
        <v>between 50k to 100k</v>
      </c>
      <c r="G78">
        <v>43409</v>
      </c>
      <c r="H78">
        <v>1</v>
      </c>
      <c r="I78" t="str">
        <v>Fixed Term</v>
      </c>
      <c r="J78" t="str">
        <v>Seattle, USA</v>
      </c>
    </row>
    <row r="79" spans="1:10" x14ac:dyDescent="0.35">
      <c r="A79" t="str">
        <v>VT01246</v>
      </c>
      <c r="B79" t="str">
        <v>Zach Polon</v>
      </c>
      <c r="C79" t="str">
        <v>Male</v>
      </c>
      <c r="D79" t="str">
        <v>Marketing</v>
      </c>
      <c r="E79">
        <v>53535.62</v>
      </c>
      <c r="F79" t="str">
        <v>between 50k to 100k</v>
      </c>
      <c r="G79">
        <v>44110</v>
      </c>
      <c r="H79">
        <v>0.5</v>
      </c>
      <c r="I79" t="str">
        <v>Fixed Term</v>
      </c>
      <c r="J79" t="str">
        <v>Seattle, USA</v>
      </c>
    </row>
    <row r="80" spans="1:10" x14ac:dyDescent="0.35">
      <c r="A80" t="str">
        <v>SQ00070</v>
      </c>
      <c r="B80" t="str">
        <v>Larissa Ingledow</v>
      </c>
      <c r="C80" t="str">
        <v>Male</v>
      </c>
      <c r="D80" t="str">
        <v>Research and Development</v>
      </c>
      <c r="E80">
        <v>62281.24</v>
      </c>
      <c r="F80" t="str">
        <v>between 50k to 100k</v>
      </c>
      <c r="G80">
        <v>43272</v>
      </c>
      <c r="H80">
        <v>1</v>
      </c>
      <c r="I80" t="str">
        <v>Permanent</v>
      </c>
      <c r="J80" t="str">
        <v>Remote</v>
      </c>
    </row>
    <row r="81" spans="1:10" x14ac:dyDescent="0.35">
      <c r="A81" t="str">
        <v>TN01701</v>
      </c>
      <c r="B81" t="str">
        <v xml:space="preserve"> Yves Pawlik</v>
      </c>
      <c r="C81" t="str">
        <v>Male</v>
      </c>
      <c r="D81" t="str">
        <v>Accounting</v>
      </c>
      <c r="E81">
        <v>57925.91</v>
      </c>
      <c r="F81" t="str">
        <v>between 50k to 100k</v>
      </c>
      <c r="G81">
        <v>43572</v>
      </c>
      <c r="H81">
        <v>0.5</v>
      </c>
      <c r="I81" t="str">
        <v>Permanent</v>
      </c>
      <c r="J81" t="str">
        <v>Wellington, New Zealand</v>
      </c>
    </row>
    <row r="82" spans="1:10" x14ac:dyDescent="0.35">
      <c r="A82" t="str">
        <v>VT03298</v>
      </c>
      <c r="B82" t="str">
        <v>Nonah Bissell</v>
      </c>
      <c r="C82" t="str">
        <v>Male</v>
      </c>
      <c r="D82" t="str">
        <v>Engineering</v>
      </c>
      <c r="E82">
        <v>82239.53</v>
      </c>
      <c r="F82" t="str">
        <v>between 50k to 100k</v>
      </c>
      <c r="G82">
        <v>43846</v>
      </c>
      <c r="H82">
        <v>1</v>
      </c>
      <c r="I82" t="str">
        <v>Temporary</v>
      </c>
      <c r="J82" t="str">
        <v>Columbus, USA</v>
      </c>
    </row>
    <row r="83" spans="1:10" x14ac:dyDescent="0.35">
      <c r="A83" t="str">
        <v>TN04892</v>
      </c>
      <c r="B83" t="str">
        <v>Luca Wolstenholme</v>
      </c>
      <c r="C83" t="str">
        <v>Male</v>
      </c>
      <c r="D83" t="str">
        <v>Engineering</v>
      </c>
      <c r="E83">
        <v>53184.02</v>
      </c>
      <c r="F83" t="str">
        <v>between 50k to 100k</v>
      </c>
      <c r="G83">
        <v>43180</v>
      </c>
      <c r="H83">
        <v>1</v>
      </c>
      <c r="I83" t="str">
        <v>Fixed Term</v>
      </c>
      <c r="J83" t="str">
        <v>Remote</v>
      </c>
    </row>
    <row r="84" spans="1:10" x14ac:dyDescent="0.35">
      <c r="A84" t="str">
        <v>VT01762</v>
      </c>
      <c r="B84" t="str">
        <v>Geena Raghavanpillai</v>
      </c>
      <c r="C84" t="str">
        <v>Male</v>
      </c>
      <c r="D84" t="str">
        <v>Accounting</v>
      </c>
      <c r="E84">
        <v>102515.81</v>
      </c>
      <c r="F84" t="str">
        <v>Grater than 100k</v>
      </c>
      <c r="G84">
        <v>43902</v>
      </c>
      <c r="H84">
        <v>1</v>
      </c>
      <c r="I84" t="str">
        <v>Fixed Term</v>
      </c>
      <c r="J84" t="str">
        <v>Chennai, India</v>
      </c>
    </row>
    <row r="85" spans="1:10" x14ac:dyDescent="0.35">
      <c r="A85" t="str">
        <v>VT00476</v>
      </c>
      <c r="B85" t="str">
        <v>Adolph  Hartin</v>
      </c>
      <c r="C85" t="str">
        <v>Male</v>
      </c>
      <c r="D85" t="str">
        <v>Product Management</v>
      </c>
      <c r="E85">
        <v>89960.6</v>
      </c>
      <c r="F85" t="str">
        <v>between 50k to 100k</v>
      </c>
      <c r="G85">
        <v>43515</v>
      </c>
      <c r="H85">
        <v>1</v>
      </c>
      <c r="I85" t="str">
        <v>Fixed Term</v>
      </c>
      <c r="J85" t="str">
        <v>Auckland, New Zealand</v>
      </c>
    </row>
    <row r="86" spans="1:10" x14ac:dyDescent="0.35">
      <c r="A86" t="str">
        <v>TN01566</v>
      </c>
      <c r="B86" t="str">
        <v xml:space="preserve">Fonzie O'Shea </v>
      </c>
      <c r="C86" t="str">
        <v>Male</v>
      </c>
      <c r="D86" t="str">
        <v>Product Management</v>
      </c>
      <c r="E86">
        <v>80360.41</v>
      </c>
      <c r="F86" t="str">
        <v>between 50k to 100k</v>
      </c>
      <c r="G86">
        <v>44167</v>
      </c>
      <c r="H86">
        <v>1</v>
      </c>
      <c r="I86" t="str">
        <v>Permanent</v>
      </c>
      <c r="J86" t="str">
        <v>Remote</v>
      </c>
    </row>
    <row r="87" spans="1:10" x14ac:dyDescent="0.35">
      <c r="A87" t="str">
        <v>SQ02371</v>
      </c>
      <c r="B87" t="str">
        <v>Alida Welman</v>
      </c>
      <c r="C87" t="str">
        <v>Male</v>
      </c>
      <c r="D87" t="str">
        <v>Human Resources</v>
      </c>
      <c r="E87">
        <v>69862.38</v>
      </c>
      <c r="F87" t="str">
        <v>between 50k to 100k</v>
      </c>
      <c r="G87">
        <v>43458</v>
      </c>
      <c r="H87">
        <v>1</v>
      </c>
      <c r="I87" t="str">
        <v>Permanent</v>
      </c>
      <c r="J87" t="str">
        <v>Wellington, New Zealand</v>
      </c>
    </row>
    <row r="88" spans="1:10" x14ac:dyDescent="0.35">
      <c r="A88" t="str">
        <v>VT04350</v>
      </c>
      <c r="B88" t="str">
        <v>Kulbhushan Moorthy</v>
      </c>
      <c r="C88" t="str">
        <v>Male</v>
      </c>
      <c r="D88" t="str">
        <v>Business Development</v>
      </c>
      <c r="E88">
        <v>106400.02</v>
      </c>
      <c r="F88" t="str">
        <v>Grater than 100k</v>
      </c>
      <c r="G88">
        <v>44021</v>
      </c>
      <c r="H88">
        <v>1</v>
      </c>
      <c r="I88" t="str">
        <v>Temporary</v>
      </c>
      <c r="J88" t="str">
        <v>Chennai, India</v>
      </c>
    </row>
    <row r="89" spans="1:10" x14ac:dyDescent="0.35">
      <c r="A89" t="str">
        <v>SQ02035</v>
      </c>
      <c r="B89" t="str">
        <v>Anni Izzard</v>
      </c>
      <c r="C89" t="str">
        <v>Male</v>
      </c>
      <c r="D89" t="str">
        <v>Human Resources</v>
      </c>
      <c r="E89">
        <v>103494.94</v>
      </c>
      <c r="F89" t="str">
        <v>Grater than 100k</v>
      </c>
      <c r="G89">
        <v>43256</v>
      </c>
      <c r="H89">
        <v>1</v>
      </c>
      <c r="I89" t="str">
        <v>Permanent</v>
      </c>
      <c r="J89" t="str">
        <v>Remote</v>
      </c>
    </row>
    <row r="90" spans="1:10" x14ac:dyDescent="0.35">
      <c r="A90" t="str">
        <v>TN02674</v>
      </c>
      <c r="B90" t="str">
        <v>Antonetta  Coggeshall</v>
      </c>
      <c r="C90" t="str">
        <v>Male</v>
      </c>
      <c r="D90" t="str">
        <v>Sales</v>
      </c>
      <c r="E90">
        <v>96753.78</v>
      </c>
      <c r="F90" t="str">
        <v>between 50k to 100k</v>
      </c>
      <c r="G90">
        <v>44494</v>
      </c>
      <c r="H90">
        <v>1</v>
      </c>
      <c r="I90" t="str">
        <v>Permanent</v>
      </c>
      <c r="J90" t="str">
        <v>Auckland, New Zealand</v>
      </c>
    </row>
    <row r="91" spans="1:10" x14ac:dyDescent="0.35">
      <c r="A91" t="str">
        <v>TN02205</v>
      </c>
      <c r="B91" t="str">
        <v>Madhumati Gazala Soumitra</v>
      </c>
      <c r="C91" t="str">
        <v>Male</v>
      </c>
      <c r="D91" t="str">
        <v>Research and Development</v>
      </c>
      <c r="E91">
        <v>69709.509999999995</v>
      </c>
      <c r="F91" t="str">
        <v>between 50k to 100k</v>
      </c>
      <c r="G91">
        <v>43472</v>
      </c>
      <c r="H91">
        <v>1</v>
      </c>
      <c r="I91" t="str">
        <v>Permanent</v>
      </c>
      <c r="J91" t="str">
        <v>Hyderabad, India</v>
      </c>
    </row>
    <row r="92" spans="1:10" x14ac:dyDescent="0.35">
      <c r="A92" t="str">
        <v>PR01476</v>
      </c>
      <c r="B92" t="str">
        <v>Jaishree Atasi Yavatkar</v>
      </c>
      <c r="C92" t="str">
        <v>Male</v>
      </c>
      <c r="D92" t="str">
        <v>Services</v>
      </c>
      <c r="E92">
        <v>77096.05</v>
      </c>
      <c r="F92" t="str">
        <v>between 50k to 100k</v>
      </c>
      <c r="G92">
        <v>43217</v>
      </c>
      <c r="H92">
        <v>1</v>
      </c>
      <c r="I92" t="str">
        <v>Permanent</v>
      </c>
      <c r="J92" t="str">
        <v>Chennai, India</v>
      </c>
    </row>
    <row r="93" spans="1:10" x14ac:dyDescent="0.35">
      <c r="A93" t="str">
        <v>SQ03112</v>
      </c>
      <c r="B93" t="str">
        <v>Kantimoy Pritish</v>
      </c>
      <c r="C93" t="str">
        <v>Male</v>
      </c>
      <c r="D93" t="str">
        <v>Product Management</v>
      </c>
      <c r="E93">
        <v>77743.149999999994</v>
      </c>
      <c r="F93" t="str">
        <v>between 50k to 100k</v>
      </c>
      <c r="G93">
        <v>43920</v>
      </c>
      <c r="H93">
        <v>1</v>
      </c>
      <c r="I93" t="str">
        <v>Permanent</v>
      </c>
      <c r="J93" t="str">
        <v>Chennai, India</v>
      </c>
    </row>
    <row r="94" spans="1:10" x14ac:dyDescent="0.35">
      <c r="A94" t="str">
        <v>SQ02035</v>
      </c>
      <c r="B94" t="str">
        <v>Anni Izzard</v>
      </c>
      <c r="C94" t="str">
        <v>Male</v>
      </c>
      <c r="D94" t="str">
        <v>Human Resources</v>
      </c>
      <c r="E94">
        <v>103494.94</v>
      </c>
      <c r="F94" t="str">
        <v>Grater than 100k</v>
      </c>
      <c r="G94">
        <v>43256</v>
      </c>
      <c r="H94">
        <v>1</v>
      </c>
      <c r="I94" t="str">
        <v>Permanent</v>
      </c>
      <c r="J94" t="str">
        <v>Remote</v>
      </c>
    </row>
    <row r="95" spans="1:10" x14ac:dyDescent="0.35">
      <c r="A95" t="str">
        <v>VT04350</v>
      </c>
      <c r="B95" t="str">
        <v>Lalit Kothari</v>
      </c>
      <c r="C95" t="str">
        <v>Male</v>
      </c>
      <c r="D95" t="str">
        <v>Business Development</v>
      </c>
      <c r="E95">
        <v>106400.02</v>
      </c>
      <c r="F95" t="str">
        <v>Grater than 100k</v>
      </c>
      <c r="G95">
        <v>44021</v>
      </c>
      <c r="H95">
        <v>1</v>
      </c>
      <c r="I95" t="str">
        <v>Temporary</v>
      </c>
      <c r="J95" t="str">
        <v>Chennai, India</v>
      </c>
    </row>
    <row r="96" spans="1:10" x14ac:dyDescent="0.35">
      <c r="A96" t="str">
        <v>VT01996</v>
      </c>
      <c r="B96" t="str">
        <v>Hali Behnecke</v>
      </c>
      <c r="C96" t="str">
        <v>Male</v>
      </c>
      <c r="D96" t="str">
        <v>Human Resources</v>
      </c>
      <c r="E96">
        <v>65569.36</v>
      </c>
      <c r="F96" t="str">
        <v>between 50k to 100k</v>
      </c>
      <c r="G96">
        <v>43293</v>
      </c>
      <c r="H96">
        <v>1</v>
      </c>
      <c r="I96" t="str">
        <v>Fixed Term</v>
      </c>
      <c r="J96" t="str">
        <v>Auckland, New Zealand</v>
      </c>
    </row>
    <row r="97" spans="1:10" x14ac:dyDescent="0.35">
      <c r="A97" t="str">
        <v>TN02204</v>
      </c>
      <c r="B97" t="str">
        <v>Aldrich Glenny</v>
      </c>
      <c r="C97" t="str">
        <v>Male</v>
      </c>
      <c r="D97" t="str">
        <v>Business Development</v>
      </c>
      <c r="E97">
        <v>90884.32</v>
      </c>
      <c r="F97" t="str">
        <v>between 50k to 100k</v>
      </c>
      <c r="G97">
        <v>44039</v>
      </c>
      <c r="H97">
        <v>0.5</v>
      </c>
      <c r="I97" t="str">
        <v>Permanent</v>
      </c>
      <c r="J97" t="str">
        <v>Columbus, USA</v>
      </c>
    </row>
    <row r="98" spans="1:10" x14ac:dyDescent="0.35">
      <c r="A98" t="str">
        <v>PR01306</v>
      </c>
      <c r="B98" t="str">
        <v>Patti Dradey</v>
      </c>
      <c r="C98" t="str">
        <v>Male</v>
      </c>
      <c r="D98" t="str">
        <v>Services</v>
      </c>
      <c r="E98">
        <v>84742.86</v>
      </c>
      <c r="F98" t="str">
        <v>between 50k to 100k</v>
      </c>
      <c r="G98">
        <v>44098</v>
      </c>
      <c r="H98">
        <v>1</v>
      </c>
      <c r="I98" t="str">
        <v>Permanent</v>
      </c>
      <c r="J98" t="str">
        <v>Auckland, New Zealand</v>
      </c>
    </row>
    <row r="99" spans="1:10" x14ac:dyDescent="0.35">
      <c r="A99" t="str">
        <v>VT03771</v>
      </c>
      <c r="B99" t="str">
        <v>Marjie Bamford</v>
      </c>
      <c r="C99" t="str">
        <v>Male</v>
      </c>
      <c r="D99" t="str">
        <v>Sales</v>
      </c>
      <c r="E99">
        <v>80772.92</v>
      </c>
      <c r="F99" t="str">
        <v>between 50k to 100k</v>
      </c>
      <c r="G99">
        <v>44137</v>
      </c>
      <c r="H99">
        <v>1</v>
      </c>
      <c r="I99" t="str">
        <v>Temporary</v>
      </c>
      <c r="J99" t="str">
        <v>Remote</v>
      </c>
    </row>
    <row r="100" spans="1:10" x14ac:dyDescent="0.35">
      <c r="A100" t="str">
        <v>VT03421</v>
      </c>
      <c r="B100" t="str">
        <v>Alic Bagg</v>
      </c>
      <c r="C100" t="str">
        <v>Male</v>
      </c>
      <c r="D100" t="str">
        <v>Legal</v>
      </c>
      <c r="E100">
        <v>113747.56</v>
      </c>
      <c r="F100" t="str">
        <v>Grater than 100k</v>
      </c>
      <c r="G100">
        <v>44270</v>
      </c>
      <c r="H100">
        <v>0.7</v>
      </c>
      <c r="I100" t="str">
        <v>Temporary</v>
      </c>
      <c r="J100" t="str">
        <v>Columbus, USA</v>
      </c>
    </row>
    <row r="101" spans="1:10" x14ac:dyDescent="0.35">
      <c r="A101" t="str">
        <v>VT00534</v>
      </c>
      <c r="B101" t="str">
        <v>Roselle Wandrach</v>
      </c>
      <c r="C101" t="str">
        <v>Male</v>
      </c>
      <c r="D101" t="str">
        <v>Sales</v>
      </c>
      <c r="E101">
        <v>91314.75</v>
      </c>
      <c r="F101" t="str">
        <v>between 50k to 100k</v>
      </c>
      <c r="G101">
        <v>43931</v>
      </c>
      <c r="H101">
        <v>1</v>
      </c>
      <c r="I101" t="str">
        <v>Fixed Term</v>
      </c>
      <c r="J101" t="str">
        <v>Seattle, USA</v>
      </c>
    </row>
    <row r="102" spans="1:10" x14ac:dyDescent="0.35">
      <c r="A102" t="str">
        <v>PR03804</v>
      </c>
      <c r="B102" t="str">
        <v>Sartaj Probal</v>
      </c>
      <c r="C102" t="str">
        <v>Male</v>
      </c>
      <c r="D102" t="str">
        <v>Legal</v>
      </c>
      <c r="E102">
        <v>66572.58</v>
      </c>
      <c r="F102" t="str">
        <v>between 50k to 100k</v>
      </c>
      <c r="G102">
        <v>44193</v>
      </c>
      <c r="H102">
        <v>1</v>
      </c>
      <c r="I102" t="str">
        <v>Permanent</v>
      </c>
      <c r="J102" t="str">
        <v>Chennai, India</v>
      </c>
    </row>
    <row r="103" spans="1:10" x14ac:dyDescent="0.35">
      <c r="A103" t="str">
        <v>PR03532</v>
      </c>
      <c r="B103" t="str">
        <v>Crawford Scad</v>
      </c>
      <c r="C103" t="str">
        <v>Male</v>
      </c>
      <c r="D103" t="str">
        <v>Human Resources</v>
      </c>
      <c r="E103">
        <v>72876.91</v>
      </c>
      <c r="F103" t="str">
        <v>between 50k to 100k</v>
      </c>
      <c r="G103">
        <v>43837</v>
      </c>
      <c r="H103">
        <v>1</v>
      </c>
      <c r="I103" t="str">
        <v>Permanent</v>
      </c>
      <c r="J103" t="str">
        <v>Remote</v>
      </c>
    </row>
    <row r="104" spans="1:10" x14ac:dyDescent="0.35">
      <c r="A104" t="str">
        <v>TN02988</v>
      </c>
      <c r="B104" t="str">
        <v>Mahindra Sreedharan</v>
      </c>
      <c r="C104" t="str">
        <v>Male</v>
      </c>
      <c r="D104" t="str">
        <v>Engineering</v>
      </c>
      <c r="E104">
        <v>92943.89</v>
      </c>
      <c r="F104" t="str">
        <v>between 50k to 100k</v>
      </c>
      <c r="G104">
        <v>44510</v>
      </c>
      <c r="H104">
        <v>1</v>
      </c>
      <c r="I104" t="str">
        <v>Permanent</v>
      </c>
      <c r="J104" t="str">
        <v>Hyderabad, India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8C2BBB-F863-4092-88F1-E97BBB430D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Here done some power query</vt:lpstr>
      <vt:lpstr>Filtering_practice using filter</vt:lpstr>
      <vt:lpstr>practicing_sumifs and countifs</vt:lpstr>
      <vt:lpstr>choosecol function practice</vt:lpstr>
      <vt:lpstr>FIltering only male 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NELLORI PHANIRAJ</cp:lastModifiedBy>
  <dcterms:created xsi:type="dcterms:W3CDTF">2024-06-20T21:17:08Z</dcterms:created>
  <dcterms:modified xsi:type="dcterms:W3CDTF">2026-01-14T11:45:13Z</dcterms:modified>
</cp:coreProperties>
</file>